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Timeline" sheetId="2" state="visible" r:id="rId2"/>
    <sheet xmlns:r="http://schemas.openxmlformats.org/officeDocument/2006/relationships" name="Checks" sheetId="3" state="visible" r:id="rId3"/>
    <sheet xmlns:r="http://schemas.openxmlformats.org/officeDocument/2006/relationships" name="Sequencing" sheetId="4" state="visible" r:id="rId4"/>
  </sheets>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b val="1"/>
      <color rgb="002E4057"/>
      <sz val="13"/>
    </font>
    <font>
      <i val="1"/>
      <color rgb="00595959"/>
      <sz val="9"/>
    </font>
    <font>
      <b val="1"/>
      <color rgb="00FFFFFF"/>
      <sz val="9.5"/>
    </font>
    <font>
      <sz val="9.5"/>
    </font>
    <font>
      <b val="1"/>
      <sz val="9.5"/>
    </font>
    <font>
      <b val="1"/>
      <color rgb="002E4057"/>
      <sz val="10.5"/>
    </font>
  </fonts>
  <fills count="7">
    <fill>
      <patternFill/>
    </fill>
    <fill>
      <patternFill patternType="gray125"/>
    </fill>
    <fill>
      <patternFill patternType="solid">
        <fgColor rgb="002E4057"/>
      </patternFill>
    </fill>
    <fill>
      <patternFill patternType="solid">
        <fgColor rgb="00EDEDED"/>
      </patternFill>
    </fill>
    <fill>
      <patternFill patternType="solid">
        <fgColor rgb="00FFF2CC"/>
      </patternFill>
    </fill>
    <fill>
      <patternFill patternType="solid">
        <fgColor rgb="00C0504D"/>
      </patternFill>
    </fill>
    <fill>
      <patternFill patternType="solid">
        <fgColor rgb="00F2DCDB"/>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3" fontId="4" fillId="0" borderId="1" applyAlignment="1" pivotButton="0" quotePrefix="0" xfId="0">
      <alignment vertical="top" wrapText="1"/>
    </xf>
    <xf numFmtId="164" fontId="4" fillId="0" borderId="1" applyAlignment="1" pivotButton="0" quotePrefix="0" xfId="0">
      <alignment vertical="top" wrapText="1"/>
    </xf>
    <xf numFmtId="0" fontId="5" fillId="3" borderId="1" applyAlignment="1" pivotButton="0" quotePrefix="0" xfId="0">
      <alignment vertical="top" wrapText="1"/>
    </xf>
    <xf numFmtId="3" fontId="5" fillId="3" borderId="1" applyAlignment="1" pivotButton="0" quotePrefix="0" xfId="0">
      <alignment vertical="top" wrapText="1"/>
    </xf>
    <xf numFmtId="164" fontId="5" fillId="3" borderId="1" applyAlignment="1" pivotButton="0" quotePrefix="0" xfId="0">
      <alignment vertical="top" wrapText="1"/>
    </xf>
    <xf numFmtId="0" fontId="5" fillId="4" borderId="1" applyAlignment="1" pivotButton="0" quotePrefix="0" xfId="0">
      <alignment vertical="top" wrapText="1"/>
    </xf>
    <xf numFmtId="0" fontId="3" fillId="5" borderId="1" applyAlignment="1" pivotButton="0" quotePrefix="0" xfId="0">
      <alignment horizontal="center" vertical="center" wrapText="1"/>
    </xf>
    <xf numFmtId="0" fontId="4" fillId="6" borderId="1"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1"/>
  <sheetViews>
    <sheetView showGridLines="0" workbookViewId="0">
      <selection activeCell="A1" sqref="A1"/>
    </sheetView>
  </sheetViews>
  <sheetFormatPr baseColWidth="8" defaultRowHeight="15"/>
  <cols>
    <col width="6" customWidth="1" min="1" max="1"/>
    <col width="13" customWidth="1" min="2" max="2"/>
    <col width="7" customWidth="1" min="3" max="3"/>
    <col width="15" customWidth="1" min="4" max="4"/>
    <col width="8" customWidth="1" min="5" max="5"/>
    <col width="6" customWidth="1" min="6" max="6"/>
    <col width="10" customWidth="1" min="7" max="7"/>
    <col width="16" customWidth="1" min="8" max="8"/>
    <col width="7" customWidth="1" min="9" max="9"/>
    <col width="10" customWidth="1" min="10" max="10"/>
    <col width="10" customWidth="1" min="11" max="11"/>
    <col width="14" customWidth="1" min="12" max="12"/>
    <col width="52" customWidth="1" min="13" max="13"/>
  </cols>
  <sheetData>
    <row r="1">
      <c r="A1" s="1" t="inlineStr">
        <is>
          <t>Verwood Specialty Chemicals ERP cutover sequence</t>
        </is>
      </c>
    </row>
    <row r="2">
      <c r="A2" s="2" t="inlineStr">
        <is>
          <t>Programme week 1 commences 2026-09-07. Legacy support ends 2027-06-30, programme week 43.</t>
        </is>
      </c>
    </row>
    <row r="4" ht="30" customHeight="1">
      <c r="A4" s="3" t="inlineStr">
        <is>
          <t>Wave</t>
        </is>
      </c>
      <c r="B4" s="3" t="inlineStr">
        <is>
          <t>Site</t>
        </is>
      </c>
      <c r="C4" s="3" t="inlineStr">
        <is>
          <t>Code</t>
        </is>
      </c>
      <c r="D4" s="3" t="inlineStr">
        <is>
          <t>Country</t>
        </is>
      </c>
      <c r="E4" s="3" t="inlineStr">
        <is>
          <t>Users</t>
        </is>
      </c>
      <c r="F4" s="3" t="inlineStr">
        <is>
          <t>Team</t>
        </is>
      </c>
      <c r="G4" s="3" t="inlineStr">
        <is>
          <t>Start week</t>
        </is>
      </c>
      <c r="H4" s="3" t="inlineStr">
        <is>
          <t>Week commencing</t>
        </is>
      </c>
      <c r="I4" s="3" t="inlineStr">
        <is>
          <t>Weeks</t>
        </is>
      </c>
      <c r="J4" s="3" t="inlineStr">
        <is>
          <t>End week</t>
        </is>
      </c>
      <c r="K4" s="3" t="inlineStr">
        <is>
          <t>Live week</t>
        </is>
      </c>
      <c r="L4" s="3" t="inlineStr">
        <is>
          <t>Live date</t>
        </is>
      </c>
      <c r="M4" s="3" t="inlineStr">
        <is>
          <t>Binding constraint</t>
        </is>
      </c>
    </row>
    <row r="5">
      <c r="A5" s="4" t="n">
        <v>1</v>
      </c>
      <c r="B5" s="4" t="inlineStr">
        <is>
          <t>Bridgnorth</t>
        </is>
      </c>
      <c r="C5" s="4" t="inlineStr">
        <is>
          <t>BRD</t>
        </is>
      </c>
      <c r="D5" s="4" t="inlineStr">
        <is>
          <t>United Kingdom</t>
        </is>
      </c>
      <c r="E5" s="5" t="n">
        <v>610</v>
      </c>
      <c r="F5" s="4" t="n">
        <v>1</v>
      </c>
      <c r="G5" s="4" t="n">
        <v>5</v>
      </c>
      <c r="H5" s="6" t="n">
        <v>46300</v>
      </c>
      <c r="I5" s="4" t="n">
        <v>5</v>
      </c>
      <c r="J5" s="4" t="n">
        <v>9</v>
      </c>
      <c r="K5" s="4" t="n">
        <v>10</v>
      </c>
      <c r="L5" s="6" t="n">
        <v>46335</v>
      </c>
      <c r="M5" s="4" t="inlineStr">
        <is>
          <t>Owns material master; 11 sites depend on it</t>
        </is>
      </c>
    </row>
    <row r="6">
      <c r="A6" s="4" t="n">
        <v>1</v>
      </c>
      <c r="B6" s="4" t="inlineStr">
        <is>
          <t>Halesworth</t>
        </is>
      </c>
      <c r="C6" s="4" t="inlineStr">
        <is>
          <t>HAL</t>
        </is>
      </c>
      <c r="D6" s="4" t="inlineStr">
        <is>
          <t>United Kingdom</t>
        </is>
      </c>
      <c r="E6" s="5" t="n">
        <v>240</v>
      </c>
      <c r="F6" s="4" t="n">
        <v>2</v>
      </c>
      <c r="G6" s="4" t="n">
        <v>5</v>
      </c>
      <c r="H6" s="6" t="n">
        <v>46300</v>
      </c>
      <c r="I6" s="4" t="n">
        <v>4</v>
      </c>
      <c r="J6" s="4" t="n">
        <v>8</v>
      </c>
      <c r="K6" s="4" t="n">
        <v>9</v>
      </c>
      <c r="L6" s="6" t="n">
        <v>46328</v>
      </c>
      <c r="M6" s="4" t="inlineStr">
        <is>
          <t>Owns customer master; 4 sites depend on it</t>
        </is>
      </c>
    </row>
    <row r="7">
      <c r="A7" s="4" t="n">
        <v>1</v>
      </c>
      <c r="B7" s="4" t="inlineStr">
        <is>
          <t>Kinloss</t>
        </is>
      </c>
      <c r="C7" s="4" t="inlineStr">
        <is>
          <t>KIN</t>
        </is>
      </c>
      <c r="D7" s="4" t="inlineStr">
        <is>
          <t>United Kingdom</t>
        </is>
      </c>
      <c r="E7" s="5" t="n">
        <v>180</v>
      </c>
      <c r="F7" s="4" t="n">
        <v>3</v>
      </c>
      <c r="G7" s="4" t="n">
        <v>5</v>
      </c>
      <c r="H7" s="6" t="n">
        <v>46300</v>
      </c>
      <c r="I7" s="4" t="n">
        <v>4</v>
      </c>
      <c r="J7" s="4" t="n">
        <v>8</v>
      </c>
      <c r="K7" s="4" t="n">
        <v>9</v>
      </c>
      <c r="L7" s="6" t="n">
        <v>46328</v>
      </c>
      <c r="M7" s="4" t="inlineStr">
        <is>
          <t>Owns vendor master; 3 sites depend on it</t>
        </is>
      </c>
    </row>
    <row r="8">
      <c r="A8" s="4" t="n">
        <v>2</v>
      </c>
      <c r="B8" s="4" t="inlineStr">
        <is>
          <t>Charleston</t>
        </is>
      </c>
      <c r="C8" s="4" t="inlineStr">
        <is>
          <t>CHA</t>
        </is>
      </c>
      <c r="D8" s="4" t="inlineStr">
        <is>
          <t>United States</t>
        </is>
      </c>
      <c r="E8" s="5" t="n">
        <v>580</v>
      </c>
      <c r="F8" s="4" t="n">
        <v>3</v>
      </c>
      <c r="G8" s="4" t="n">
        <v>10</v>
      </c>
      <c r="H8" s="6" t="n">
        <v>46335</v>
      </c>
      <c r="I8" s="4" t="n">
        <v>5</v>
      </c>
      <c r="J8" s="4" t="n">
        <v>14</v>
      </c>
      <c r="K8" s="4" t="n">
        <v>15</v>
      </c>
      <c r="L8" s="6" t="n">
        <v>46370</v>
      </c>
      <c r="M8" s="4" t="inlineStr">
        <is>
          <t>Follows BRD, HAL</t>
        </is>
      </c>
    </row>
    <row r="9">
      <c r="A9" s="4" t="n">
        <v>2</v>
      </c>
      <c r="B9" s="4" t="inlineStr">
        <is>
          <t>Cork</t>
        </is>
      </c>
      <c r="C9" s="4" t="inlineStr">
        <is>
          <t>COR</t>
        </is>
      </c>
      <c r="D9" s="4" t="inlineStr">
        <is>
          <t>Ireland</t>
        </is>
      </c>
      <c r="E9" s="5" t="n">
        <v>150</v>
      </c>
      <c r="F9" s="4" t="n">
        <v>2</v>
      </c>
      <c r="G9" s="4" t="n">
        <v>10</v>
      </c>
      <c r="H9" s="6" t="n">
        <v>46335</v>
      </c>
      <c r="I9" s="4" t="n">
        <v>3</v>
      </c>
      <c r="J9" s="4" t="n">
        <v>12</v>
      </c>
      <c r="K9" s="4" t="n">
        <v>25</v>
      </c>
      <c r="L9" s="6" t="n">
        <v>46440</v>
      </c>
      <c r="M9" s="4" t="inlineStr">
        <is>
          <t>12 week validation after cutover, so it must start early despite being the smallest site</t>
        </is>
      </c>
    </row>
    <row r="10">
      <c r="A10" s="4" t="n">
        <v>3</v>
      </c>
      <c r="B10" s="4" t="inlineStr">
        <is>
          <t>Antwerp</t>
        </is>
      </c>
      <c r="C10" s="4" t="inlineStr">
        <is>
          <t>ANT</t>
        </is>
      </c>
      <c r="D10" s="4" t="inlineStr">
        <is>
          <t>Belgium</t>
        </is>
      </c>
      <c r="E10" s="5" t="n">
        <v>520</v>
      </c>
      <c r="F10" s="4" t="n">
        <v>2</v>
      </c>
      <c r="G10" s="4" t="n">
        <v>21</v>
      </c>
      <c r="H10" s="6" t="n">
        <v>46412</v>
      </c>
      <c r="I10" s="4" t="n">
        <v>5</v>
      </c>
      <c r="J10" s="4" t="n">
        <v>25</v>
      </c>
      <c r="K10" s="4" t="n">
        <v>26</v>
      </c>
      <c r="L10" s="6" t="n">
        <v>46447</v>
      </c>
      <c r="M10" s="4" t="inlineStr">
        <is>
          <t>Follows BRD, KIN</t>
        </is>
      </c>
    </row>
    <row r="11">
      <c r="A11" s="4" t="n">
        <v>3</v>
      </c>
      <c r="B11" s="4" t="inlineStr">
        <is>
          <t>Rotterdam</t>
        </is>
      </c>
      <c r="C11" s="4" t="inlineStr">
        <is>
          <t>ROT</t>
        </is>
      </c>
      <c r="D11" s="4" t="inlineStr">
        <is>
          <t>Netherlands</t>
        </is>
      </c>
      <c r="E11" s="5" t="n">
        <v>460</v>
      </c>
      <c r="F11" s="4" t="n">
        <v>3</v>
      </c>
      <c r="G11" s="4" t="n">
        <v>21</v>
      </c>
      <c r="H11" s="6" t="n">
        <v>46412</v>
      </c>
      <c r="I11" s="4" t="n">
        <v>4</v>
      </c>
      <c r="J11" s="4" t="n">
        <v>24</v>
      </c>
      <c r="K11" s="4" t="n">
        <v>25</v>
      </c>
      <c r="L11" s="6" t="n">
        <v>46440</v>
      </c>
      <c r="M11" s="4" t="inlineStr">
        <is>
          <t>Follows BRD, KIN</t>
        </is>
      </c>
    </row>
    <row r="12">
      <c r="A12" s="4" t="n">
        <v>4</v>
      </c>
      <c r="B12" s="4" t="inlineStr">
        <is>
          <t>Sarnia</t>
        </is>
      </c>
      <c r="C12" s="4" t="inlineStr">
        <is>
          <t>SAR</t>
        </is>
      </c>
      <c r="D12" s="4" t="inlineStr">
        <is>
          <t>Canada</t>
        </is>
      </c>
      <c r="E12" s="5" t="n">
        <v>260</v>
      </c>
      <c r="F12" s="4" t="n">
        <v>1</v>
      </c>
      <c r="G12" s="4" t="n">
        <v>24</v>
      </c>
      <c r="H12" s="6" t="n">
        <v>46433</v>
      </c>
      <c r="I12" s="4" t="n">
        <v>4</v>
      </c>
      <c r="J12" s="4" t="n">
        <v>27</v>
      </c>
      <c r="K12" s="4" t="n">
        <v>28</v>
      </c>
      <c r="L12" s="6" t="n">
        <v>46461</v>
      </c>
      <c r="M12" s="4" t="inlineStr">
        <is>
          <t>Can only start in the shutdown window, programme week 24</t>
        </is>
      </c>
    </row>
    <row r="13">
      <c r="A13" s="4" t="n">
        <v>4</v>
      </c>
      <c r="B13" s="4" t="inlineStr">
        <is>
          <t>Gdansk</t>
        </is>
      </c>
      <c r="C13" s="4" t="inlineStr">
        <is>
          <t>GDA</t>
        </is>
      </c>
      <c r="D13" s="4" t="inlineStr">
        <is>
          <t>Poland</t>
        </is>
      </c>
      <c r="E13" s="5" t="n">
        <v>340</v>
      </c>
      <c r="F13" s="4" t="n">
        <v>3</v>
      </c>
      <c r="G13" s="4" t="n">
        <v>25</v>
      </c>
      <c r="H13" s="6" t="n">
        <v>46440</v>
      </c>
      <c r="I13" s="4" t="n">
        <v>4</v>
      </c>
      <c r="J13" s="4" t="n">
        <v>28</v>
      </c>
      <c r="K13" s="4" t="n">
        <v>29</v>
      </c>
      <c r="L13" s="6" t="n">
        <v>46468</v>
      </c>
      <c r="M13" s="4" t="inlineStr">
        <is>
          <t>Follows BRD, HAL</t>
        </is>
      </c>
    </row>
    <row r="14">
      <c r="A14" s="4" t="n">
        <v>5</v>
      </c>
      <c r="B14" s="4" t="inlineStr">
        <is>
          <t>Lyon</t>
        </is>
      </c>
      <c r="C14" s="4" t="inlineStr">
        <is>
          <t>LYO</t>
        </is>
      </c>
      <c r="D14" s="4" t="inlineStr">
        <is>
          <t>France</t>
        </is>
      </c>
      <c r="E14" s="5" t="n">
        <v>310</v>
      </c>
      <c r="F14" s="4" t="n">
        <v>2</v>
      </c>
      <c r="G14" s="4" t="n">
        <v>31</v>
      </c>
      <c r="H14" s="6" t="n">
        <v>46482</v>
      </c>
      <c r="I14" s="4" t="n">
        <v>4</v>
      </c>
      <c r="J14" s="4" t="n">
        <v>34</v>
      </c>
      <c r="K14" s="4" t="n">
        <v>35</v>
      </c>
      <c r="L14" s="6" t="n">
        <v>46510</v>
      </c>
      <c r="M14" s="4" t="inlineStr">
        <is>
          <t>Follows BRD</t>
        </is>
      </c>
    </row>
    <row r="15">
      <c r="A15" s="4" t="n">
        <v>5</v>
      </c>
      <c r="B15" s="4" t="inlineStr">
        <is>
          <t>Turin</t>
        </is>
      </c>
      <c r="C15" s="4" t="inlineStr">
        <is>
          <t>TUR</t>
        </is>
      </c>
      <c r="D15" s="4" t="inlineStr">
        <is>
          <t>Italy</t>
        </is>
      </c>
      <c r="E15" s="5" t="n">
        <v>290</v>
      </c>
      <c r="F15" s="4" t="n">
        <v>3</v>
      </c>
      <c r="G15" s="4" t="n">
        <v>31</v>
      </c>
      <c r="H15" s="6" t="n">
        <v>46482</v>
      </c>
      <c r="I15" s="4" t="n">
        <v>4</v>
      </c>
      <c r="J15" s="4" t="n">
        <v>34</v>
      </c>
      <c r="K15" s="4" t="n">
        <v>35</v>
      </c>
      <c r="L15" s="6" t="n">
        <v>46510</v>
      </c>
      <c r="M15" s="4" t="inlineStr">
        <is>
          <t>Follows BRD</t>
        </is>
      </c>
    </row>
    <row r="16">
      <c r="A16" s="4" t="n">
        <v>6</v>
      </c>
      <c r="B16" s="4" t="inlineStr">
        <is>
          <t>Mobile</t>
        </is>
      </c>
      <c r="C16" s="4" t="inlineStr">
        <is>
          <t>MOB</t>
        </is>
      </c>
      <c r="D16" s="4" t="inlineStr">
        <is>
          <t>United States</t>
        </is>
      </c>
      <c r="E16" s="5" t="n">
        <v>395</v>
      </c>
      <c r="F16" s="4" t="n">
        <v>1</v>
      </c>
      <c r="G16" s="4" t="n">
        <v>33</v>
      </c>
      <c r="H16" s="6" t="n">
        <v>46496</v>
      </c>
      <c r="I16" s="4" t="n">
        <v>4</v>
      </c>
      <c r="J16" s="4" t="n">
        <v>36</v>
      </c>
      <c r="K16" s="4" t="n">
        <v>37</v>
      </c>
      <c r="L16" s="6" t="n">
        <v>46524</v>
      </c>
      <c r="M16" s="4" t="inlineStr">
        <is>
          <t>Can only start in the shutdown window, programme week 33</t>
        </is>
      </c>
    </row>
    <row r="17">
      <c r="A17" s="4" t="n">
        <v>7</v>
      </c>
      <c r="B17" s="4" t="inlineStr">
        <is>
          <t>Penang</t>
        </is>
      </c>
      <c r="C17" s="4" t="inlineStr">
        <is>
          <t>PEN</t>
        </is>
      </c>
      <c r="D17" s="4" t="inlineStr">
        <is>
          <t>Malaysia</t>
        </is>
      </c>
      <c r="E17" s="5" t="n">
        <v>215</v>
      </c>
      <c r="F17" s="4" t="n">
        <v>2</v>
      </c>
      <c r="G17" s="4" t="n">
        <v>35</v>
      </c>
      <c r="H17" s="6" t="n">
        <v>46510</v>
      </c>
      <c r="I17" s="4" t="n">
        <v>3</v>
      </c>
      <c r="J17" s="4" t="n">
        <v>37</v>
      </c>
      <c r="K17" s="4" t="n">
        <v>38</v>
      </c>
      <c r="L17" s="6" t="n">
        <v>46531</v>
      </c>
      <c r="M17" s="4" t="inlineStr">
        <is>
          <t>Follows BRD</t>
        </is>
      </c>
    </row>
    <row r="18">
      <c r="A18" s="4" t="n">
        <v>7</v>
      </c>
      <c r="B18" s="4" t="inlineStr">
        <is>
          <t>Valencia</t>
        </is>
      </c>
      <c r="C18" s="4" t="inlineStr">
        <is>
          <t>VAL</t>
        </is>
      </c>
      <c r="D18" s="4" t="inlineStr">
        <is>
          <t>Spain</t>
        </is>
      </c>
      <c r="E18" s="5" t="n">
        <v>205</v>
      </c>
      <c r="F18" s="4" t="n">
        <v>3</v>
      </c>
      <c r="G18" s="4" t="n">
        <v>35</v>
      </c>
      <c r="H18" s="6" t="n">
        <v>46510</v>
      </c>
      <c r="I18" s="4" t="n">
        <v>3</v>
      </c>
      <c r="J18" s="4" t="n">
        <v>37</v>
      </c>
      <c r="K18" s="4" t="n">
        <v>38</v>
      </c>
      <c r="L18" s="6" t="n">
        <v>46531</v>
      </c>
      <c r="M18" s="4" t="inlineStr">
        <is>
          <t>Follows BRD</t>
        </is>
      </c>
    </row>
    <row r="19">
      <c r="A19" s="7" t="inlineStr"/>
      <c r="B19" s="7" t="inlineStr">
        <is>
          <t>TOTAL</t>
        </is>
      </c>
      <c r="C19" s="7" t="inlineStr"/>
      <c r="D19" s="7" t="inlineStr"/>
      <c r="E19" s="8">
        <f>SUM(E5:E18)</f>
        <v/>
      </c>
      <c r="F19" s="7" t="inlineStr"/>
      <c r="G19" s="7" t="inlineStr"/>
      <c r="H19" s="7" t="inlineStr"/>
      <c r="I19" s="7">
        <f>SUM(I5:I18)</f>
        <v/>
      </c>
      <c r="J19" s="7" t="inlineStr"/>
      <c r="K19" s="7">
        <f>MAX(K5:K18)</f>
        <v/>
      </c>
      <c r="L19" s="9">
        <f>MAX(L5:L18)</f>
        <v/>
      </c>
      <c r="M19" s="7" t="inlineStr">
        <is>
          <t>Last go-live against a deadline of programme week 43</t>
        </is>
      </c>
    </row>
    <row r="21">
      <c r="A21" s="10" t="inlineStr"/>
      <c r="B21" s="10" t="inlineStr">
        <is>
          <t>Float to the deadline, weeks</t>
        </is>
      </c>
      <c r="C21" s="10" t="inlineStr"/>
      <c r="D21" s="10" t="inlineStr"/>
      <c r="E21" s="10">
        <f>43-K19</f>
        <v/>
      </c>
      <c r="F21" s="10" t="inlineStr"/>
      <c r="G21" s="10" t="inlineStr"/>
      <c r="H21" s="10" t="inlineStr"/>
      <c r="I21" s="10" t="inlineStr"/>
      <c r="J21" s="10" t="inlineStr"/>
      <c r="K21" s="10" t="inlineStr"/>
      <c r="L21" s="10" t="inlineStr"/>
      <c r="M21" s="10" t="inlineStr">
        <is>
          <t>Weeks between the last go-live and the end of legacy support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R10"/>
  <sheetViews>
    <sheetView showGridLines="0" workbookViewId="0">
      <selection activeCell="A1" sqref="A1"/>
    </sheetView>
  </sheetViews>
  <sheetFormatPr baseColWidth="8" defaultRowHeight="15"/>
  <cols>
    <col width="8"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s>
  <sheetData>
    <row r="1">
      <c r="A1" s="1" t="inlineStr">
        <is>
          <t>Team loading by programme week</t>
        </is>
      </c>
    </row>
    <row r="2">
      <c r="A2" s="2" t="inlineStr">
        <is>
          <t>Each cell shows the site a team is working. Shaded columns are financial blackout weeks.</t>
        </is>
      </c>
    </row>
    <row r="4" ht="30" customHeight="1">
      <c r="A4" s="3" t="inlineStr">
        <is>
          <t>Team</t>
        </is>
      </c>
      <c r="B4" s="3" t="inlineStr">
        <is>
          <t>W1</t>
        </is>
      </c>
      <c r="C4" s="3" t="inlineStr">
        <is>
          <t>W2</t>
        </is>
      </c>
      <c r="D4" s="11" t="inlineStr">
        <is>
          <t>W3</t>
        </is>
      </c>
      <c r="E4" s="11" t="inlineStr">
        <is>
          <t>W4</t>
        </is>
      </c>
      <c r="F4" s="3" t="inlineStr">
        <is>
          <t>W5</t>
        </is>
      </c>
      <c r="G4" s="3" t="inlineStr">
        <is>
          <t>W6</t>
        </is>
      </c>
      <c r="H4" s="3" t="inlineStr">
        <is>
          <t>W7</t>
        </is>
      </c>
      <c r="I4" s="3" t="inlineStr">
        <is>
          <t>W8</t>
        </is>
      </c>
      <c r="J4" s="3" t="inlineStr">
        <is>
          <t>W9</t>
        </is>
      </c>
      <c r="K4" s="3" t="inlineStr">
        <is>
          <t>W10</t>
        </is>
      </c>
      <c r="L4" s="3" t="inlineStr">
        <is>
          <t>W11</t>
        </is>
      </c>
      <c r="M4" s="3" t="inlineStr">
        <is>
          <t>W12</t>
        </is>
      </c>
      <c r="N4" s="3" t="inlineStr">
        <is>
          <t>W13</t>
        </is>
      </c>
      <c r="O4" s="3" t="inlineStr">
        <is>
          <t>W14</t>
        </is>
      </c>
      <c r="P4" s="3" t="inlineStr">
        <is>
          <t>W15</t>
        </is>
      </c>
      <c r="Q4" s="11" t="inlineStr">
        <is>
          <t>W16</t>
        </is>
      </c>
      <c r="R4" s="11" t="inlineStr">
        <is>
          <t>W17</t>
        </is>
      </c>
      <c r="S4" s="11" t="inlineStr">
        <is>
          <t>W18</t>
        </is>
      </c>
      <c r="T4" s="11" t="inlineStr">
        <is>
          <t>W19</t>
        </is>
      </c>
      <c r="U4" s="11" t="inlineStr">
        <is>
          <t>W20</t>
        </is>
      </c>
      <c r="V4" s="3" t="inlineStr">
        <is>
          <t>W21</t>
        </is>
      </c>
      <c r="W4" s="3" t="inlineStr">
        <is>
          <t>W22</t>
        </is>
      </c>
      <c r="X4" s="3" t="inlineStr">
        <is>
          <t>W23</t>
        </is>
      </c>
      <c r="Y4" s="3" t="inlineStr">
        <is>
          <t>W24</t>
        </is>
      </c>
      <c r="Z4" s="3" t="inlineStr">
        <is>
          <t>W25</t>
        </is>
      </c>
      <c r="AA4" s="3" t="inlineStr">
        <is>
          <t>W26</t>
        </is>
      </c>
      <c r="AB4" s="3" t="inlineStr">
        <is>
          <t>W27</t>
        </is>
      </c>
      <c r="AC4" s="3" t="inlineStr">
        <is>
          <t>W28</t>
        </is>
      </c>
      <c r="AD4" s="11" t="inlineStr">
        <is>
          <t>W29</t>
        </is>
      </c>
      <c r="AE4" s="11" t="inlineStr">
        <is>
          <t>W30</t>
        </is>
      </c>
      <c r="AF4" s="3" t="inlineStr">
        <is>
          <t>W31</t>
        </is>
      </c>
      <c r="AG4" s="3" t="inlineStr">
        <is>
          <t>W32</t>
        </is>
      </c>
      <c r="AH4" s="3" t="inlineStr">
        <is>
          <t>W33</t>
        </is>
      </c>
      <c r="AI4" s="3" t="inlineStr">
        <is>
          <t>W34</t>
        </is>
      </c>
      <c r="AJ4" s="3" t="inlineStr">
        <is>
          <t>W35</t>
        </is>
      </c>
      <c r="AK4" s="3" t="inlineStr">
        <is>
          <t>W36</t>
        </is>
      </c>
      <c r="AL4" s="3" t="inlineStr">
        <is>
          <t>W37</t>
        </is>
      </c>
      <c r="AM4" s="3" t="inlineStr">
        <is>
          <t>W38</t>
        </is>
      </c>
      <c r="AN4" s="3" t="inlineStr">
        <is>
          <t>W39</t>
        </is>
      </c>
      <c r="AO4" s="3" t="inlineStr">
        <is>
          <t>W40</t>
        </is>
      </c>
      <c r="AP4" s="3" t="inlineStr">
        <is>
          <t>W41</t>
        </is>
      </c>
      <c r="AQ4" s="11" t="inlineStr">
        <is>
          <t>W42</t>
        </is>
      </c>
      <c r="AR4" s="11" t="inlineStr">
        <is>
          <t>W43</t>
        </is>
      </c>
    </row>
    <row r="5">
      <c r="A5" s="4" t="inlineStr">
        <is>
          <t>Team 1</t>
        </is>
      </c>
      <c r="B5" s="4" t="inlineStr"/>
      <c r="C5" s="4" t="inlineStr"/>
      <c r="D5" s="12" t="inlineStr"/>
      <c r="E5" s="12" t="inlineStr"/>
      <c r="F5" s="4" t="inlineStr">
        <is>
          <t>BRD</t>
        </is>
      </c>
      <c r="G5" s="4" t="inlineStr">
        <is>
          <t>BRD</t>
        </is>
      </c>
      <c r="H5" s="4" t="inlineStr">
        <is>
          <t>BRD</t>
        </is>
      </c>
      <c r="I5" s="4" t="inlineStr">
        <is>
          <t>BRD</t>
        </is>
      </c>
      <c r="J5" s="4" t="inlineStr">
        <is>
          <t>BRD</t>
        </is>
      </c>
      <c r="K5" s="4" t="inlineStr"/>
      <c r="L5" s="4" t="inlineStr"/>
      <c r="M5" s="4" t="inlineStr"/>
      <c r="N5" s="4" t="inlineStr"/>
      <c r="O5" s="4" t="inlineStr"/>
      <c r="P5" s="4" t="inlineStr"/>
      <c r="Q5" s="12" t="inlineStr"/>
      <c r="R5" s="12" t="inlineStr"/>
      <c r="S5" s="12" t="inlineStr"/>
      <c r="T5" s="12" t="inlineStr"/>
      <c r="U5" s="12" t="inlineStr"/>
      <c r="V5" s="4" t="inlineStr"/>
      <c r="W5" s="4" t="inlineStr"/>
      <c r="X5" s="4" t="inlineStr"/>
      <c r="Y5" s="4" t="inlineStr">
        <is>
          <t>SAR</t>
        </is>
      </c>
      <c r="Z5" s="4" t="inlineStr">
        <is>
          <t>SAR</t>
        </is>
      </c>
      <c r="AA5" s="4" t="inlineStr">
        <is>
          <t>SAR</t>
        </is>
      </c>
      <c r="AB5" s="4" t="inlineStr">
        <is>
          <t>SAR</t>
        </is>
      </c>
      <c r="AC5" s="4" t="inlineStr"/>
      <c r="AD5" s="12" t="inlineStr"/>
      <c r="AE5" s="12" t="inlineStr"/>
      <c r="AF5" s="4" t="inlineStr"/>
      <c r="AG5" s="4" t="inlineStr"/>
      <c r="AH5" s="4" t="inlineStr">
        <is>
          <t>MOB</t>
        </is>
      </c>
      <c r="AI5" s="4" t="inlineStr">
        <is>
          <t>MOB</t>
        </is>
      </c>
      <c r="AJ5" s="4" t="inlineStr">
        <is>
          <t>MOB</t>
        </is>
      </c>
      <c r="AK5" s="4" t="inlineStr">
        <is>
          <t>MOB</t>
        </is>
      </c>
      <c r="AL5" s="4" t="inlineStr"/>
      <c r="AM5" s="4" t="inlineStr"/>
      <c r="AN5" s="4" t="inlineStr"/>
      <c r="AO5" s="4" t="inlineStr"/>
      <c r="AP5" s="4" t="inlineStr"/>
      <c r="AQ5" s="12" t="inlineStr"/>
      <c r="AR5" s="12" t="inlineStr"/>
    </row>
    <row r="6">
      <c r="A6" s="4" t="inlineStr">
        <is>
          <t>Team 2</t>
        </is>
      </c>
      <c r="B6" s="4" t="inlineStr"/>
      <c r="C6" s="4" t="inlineStr"/>
      <c r="D6" s="12" t="inlineStr"/>
      <c r="E6" s="12" t="inlineStr"/>
      <c r="F6" s="4" t="inlineStr">
        <is>
          <t>HAL</t>
        </is>
      </c>
      <c r="G6" s="4" t="inlineStr">
        <is>
          <t>HAL</t>
        </is>
      </c>
      <c r="H6" s="4" t="inlineStr">
        <is>
          <t>HAL</t>
        </is>
      </c>
      <c r="I6" s="4" t="inlineStr">
        <is>
          <t>HAL</t>
        </is>
      </c>
      <c r="J6" s="4" t="inlineStr"/>
      <c r="K6" s="4" t="inlineStr">
        <is>
          <t>COR</t>
        </is>
      </c>
      <c r="L6" s="4" t="inlineStr">
        <is>
          <t>COR</t>
        </is>
      </c>
      <c r="M6" s="4" t="inlineStr">
        <is>
          <t>COR</t>
        </is>
      </c>
      <c r="N6" s="4" t="inlineStr"/>
      <c r="O6" s="4" t="inlineStr"/>
      <c r="P6" s="4" t="inlineStr"/>
      <c r="Q6" s="12" t="inlineStr"/>
      <c r="R6" s="12" t="inlineStr"/>
      <c r="S6" s="12" t="inlineStr"/>
      <c r="T6" s="12" t="inlineStr"/>
      <c r="U6" s="12" t="inlineStr"/>
      <c r="V6" s="4" t="inlineStr">
        <is>
          <t>ANT</t>
        </is>
      </c>
      <c r="W6" s="4" t="inlineStr">
        <is>
          <t>ANT</t>
        </is>
      </c>
      <c r="X6" s="4" t="inlineStr">
        <is>
          <t>ANT</t>
        </is>
      </c>
      <c r="Y6" s="4" t="inlineStr">
        <is>
          <t>ANT</t>
        </is>
      </c>
      <c r="Z6" s="4" t="inlineStr">
        <is>
          <t>ANT</t>
        </is>
      </c>
      <c r="AA6" s="4" t="inlineStr"/>
      <c r="AB6" s="4" t="inlineStr"/>
      <c r="AC6" s="4" t="inlineStr"/>
      <c r="AD6" s="12" t="inlineStr"/>
      <c r="AE6" s="12" t="inlineStr"/>
      <c r="AF6" s="4" t="inlineStr">
        <is>
          <t>LYO</t>
        </is>
      </c>
      <c r="AG6" s="4" t="inlineStr">
        <is>
          <t>LYO</t>
        </is>
      </c>
      <c r="AH6" s="4" t="inlineStr">
        <is>
          <t>LYO</t>
        </is>
      </c>
      <c r="AI6" s="4" t="inlineStr">
        <is>
          <t>LYO</t>
        </is>
      </c>
      <c r="AJ6" s="4" t="inlineStr">
        <is>
          <t>PEN</t>
        </is>
      </c>
      <c r="AK6" s="4" t="inlineStr">
        <is>
          <t>PEN</t>
        </is>
      </c>
      <c r="AL6" s="4" t="inlineStr">
        <is>
          <t>PEN</t>
        </is>
      </c>
      <c r="AM6" s="4" t="inlineStr"/>
      <c r="AN6" s="4" t="inlineStr"/>
      <c r="AO6" s="4" t="inlineStr"/>
      <c r="AP6" s="4" t="inlineStr"/>
      <c r="AQ6" s="12" t="inlineStr"/>
      <c r="AR6" s="12" t="inlineStr"/>
    </row>
    <row r="7">
      <c r="A7" s="4" t="inlineStr">
        <is>
          <t>Team 3</t>
        </is>
      </c>
      <c r="B7" s="4" t="inlineStr"/>
      <c r="C7" s="4" t="inlineStr"/>
      <c r="D7" s="12" t="inlineStr"/>
      <c r="E7" s="12" t="inlineStr"/>
      <c r="F7" s="4" t="inlineStr">
        <is>
          <t>KIN</t>
        </is>
      </c>
      <c r="G7" s="4" t="inlineStr">
        <is>
          <t>KIN</t>
        </is>
      </c>
      <c r="H7" s="4" t="inlineStr">
        <is>
          <t>KIN</t>
        </is>
      </c>
      <c r="I7" s="4" t="inlineStr">
        <is>
          <t>KIN</t>
        </is>
      </c>
      <c r="J7" s="4" t="inlineStr"/>
      <c r="K7" s="4" t="inlineStr">
        <is>
          <t>CHA</t>
        </is>
      </c>
      <c r="L7" s="4" t="inlineStr">
        <is>
          <t>CHA</t>
        </is>
      </c>
      <c r="M7" s="4" t="inlineStr">
        <is>
          <t>CHA</t>
        </is>
      </c>
      <c r="N7" s="4" t="inlineStr">
        <is>
          <t>CHA</t>
        </is>
      </c>
      <c r="O7" s="4" t="inlineStr">
        <is>
          <t>CHA</t>
        </is>
      </c>
      <c r="P7" s="4" t="inlineStr"/>
      <c r="Q7" s="12" t="inlineStr"/>
      <c r="R7" s="12" t="inlineStr"/>
      <c r="S7" s="12" t="inlineStr"/>
      <c r="T7" s="12" t="inlineStr"/>
      <c r="U7" s="12" t="inlineStr"/>
      <c r="V7" s="4" t="inlineStr">
        <is>
          <t>ROT</t>
        </is>
      </c>
      <c r="W7" s="4" t="inlineStr">
        <is>
          <t>ROT</t>
        </is>
      </c>
      <c r="X7" s="4" t="inlineStr">
        <is>
          <t>ROT</t>
        </is>
      </c>
      <c r="Y7" s="4" t="inlineStr">
        <is>
          <t>ROT</t>
        </is>
      </c>
      <c r="Z7" s="4" t="inlineStr">
        <is>
          <t>GDA</t>
        </is>
      </c>
      <c r="AA7" s="4" t="inlineStr">
        <is>
          <t>GDA</t>
        </is>
      </c>
      <c r="AB7" s="4" t="inlineStr">
        <is>
          <t>GDA</t>
        </is>
      </c>
      <c r="AC7" s="4" t="inlineStr">
        <is>
          <t>GDA</t>
        </is>
      </c>
      <c r="AD7" s="12" t="inlineStr"/>
      <c r="AE7" s="12" t="inlineStr"/>
      <c r="AF7" s="4" t="inlineStr">
        <is>
          <t>TUR</t>
        </is>
      </c>
      <c r="AG7" s="4" t="inlineStr">
        <is>
          <t>TUR</t>
        </is>
      </c>
      <c r="AH7" s="4" t="inlineStr">
        <is>
          <t>TUR</t>
        </is>
      </c>
      <c r="AI7" s="4" t="inlineStr">
        <is>
          <t>TUR</t>
        </is>
      </c>
      <c r="AJ7" s="4" t="inlineStr">
        <is>
          <t>VAL</t>
        </is>
      </c>
      <c r="AK7" s="4" t="inlineStr">
        <is>
          <t>VAL</t>
        </is>
      </c>
      <c r="AL7" s="4" t="inlineStr">
        <is>
          <t>VAL</t>
        </is>
      </c>
      <c r="AM7" s="4" t="inlineStr"/>
      <c r="AN7" s="4" t="inlineStr"/>
      <c r="AO7" s="4" t="inlineStr"/>
      <c r="AP7" s="4" t="inlineStr"/>
      <c r="AQ7" s="12" t="inlineStr"/>
      <c r="AR7" s="12" t="inlineStr"/>
    </row>
    <row r="8">
      <c r="A8" s="7" t="inlineStr">
        <is>
          <t>Load</t>
        </is>
      </c>
      <c r="B8" s="7" t="n">
        <v>0</v>
      </c>
      <c r="C8" s="7" t="n">
        <v>0</v>
      </c>
      <c r="D8" s="7" t="n">
        <v>0</v>
      </c>
      <c r="E8" s="7" t="n">
        <v>0</v>
      </c>
      <c r="F8" s="7" t="n">
        <v>3</v>
      </c>
      <c r="G8" s="7" t="n">
        <v>3</v>
      </c>
      <c r="H8" s="7" t="n">
        <v>3</v>
      </c>
      <c r="I8" s="7" t="n">
        <v>3</v>
      </c>
      <c r="J8" s="7" t="n">
        <v>1</v>
      </c>
      <c r="K8" s="7" t="n">
        <v>2</v>
      </c>
      <c r="L8" s="7" t="n">
        <v>2</v>
      </c>
      <c r="M8" s="7" t="n">
        <v>2</v>
      </c>
      <c r="N8" s="7" t="n">
        <v>1</v>
      </c>
      <c r="O8" s="7" t="n">
        <v>1</v>
      </c>
      <c r="P8" s="7" t="n">
        <v>0</v>
      </c>
      <c r="Q8" s="7" t="n">
        <v>0</v>
      </c>
      <c r="R8" s="7" t="n">
        <v>0</v>
      </c>
      <c r="S8" s="7" t="n">
        <v>0</v>
      </c>
      <c r="T8" s="7" t="n">
        <v>0</v>
      </c>
      <c r="U8" s="7" t="n">
        <v>0</v>
      </c>
      <c r="V8" s="7" t="n">
        <v>2</v>
      </c>
      <c r="W8" s="7" t="n">
        <v>2</v>
      </c>
      <c r="X8" s="7" t="n">
        <v>2</v>
      </c>
      <c r="Y8" s="7" t="n">
        <v>3</v>
      </c>
      <c r="Z8" s="7" t="n">
        <v>3</v>
      </c>
      <c r="AA8" s="7" t="n">
        <v>2</v>
      </c>
      <c r="AB8" s="7" t="n">
        <v>2</v>
      </c>
      <c r="AC8" s="7" t="n">
        <v>1</v>
      </c>
      <c r="AD8" s="7" t="n">
        <v>0</v>
      </c>
      <c r="AE8" s="7" t="n">
        <v>0</v>
      </c>
      <c r="AF8" s="7" t="n">
        <v>2</v>
      </c>
      <c r="AG8" s="7" t="n">
        <v>2</v>
      </c>
      <c r="AH8" s="7" t="n">
        <v>3</v>
      </c>
      <c r="AI8" s="7" t="n">
        <v>3</v>
      </c>
      <c r="AJ8" s="7" t="n">
        <v>3</v>
      </c>
      <c r="AK8" s="7" t="n">
        <v>3</v>
      </c>
      <c r="AL8" s="7" t="n">
        <v>2</v>
      </c>
      <c r="AM8" s="7" t="n">
        <v>0</v>
      </c>
      <c r="AN8" s="7" t="n">
        <v>0</v>
      </c>
      <c r="AO8" s="7" t="n">
        <v>0</v>
      </c>
      <c r="AP8" s="7" t="n">
        <v>0</v>
      </c>
      <c r="AQ8" s="7" t="n">
        <v>0</v>
      </c>
      <c r="AR8" s="7" t="n">
        <v>0</v>
      </c>
    </row>
    <row r="10">
      <c r="A10" s="13" t="inlineStr">
        <is>
          <t>Peak</t>
        </is>
      </c>
      <c r="B10" s="13">
        <f>MAX(B8:AR8)</f>
        <v/>
      </c>
      <c r="C10" s="13" t="inlineStr"/>
      <c r="D10" s="13" t="inlineStr">
        <is>
          <t>Deployment teams available: 3</t>
        </is>
      </c>
      <c r="E10" s="13" t="inlineStr"/>
      <c r="F10" s="13" t="inlineStr"/>
      <c r="G10" s="13" t="inlineStr"/>
      <c r="H10" s="13" t="inlineStr"/>
      <c r="I10" s="13" t="inlineStr"/>
      <c r="J10" s="13" t="inlineStr"/>
      <c r="K10" s="13" t="inlineStr"/>
      <c r="L10" s="13" t="inlineStr"/>
      <c r="M10" s="13" t="inlineStr"/>
      <c r="N10" s="13" t="inlineStr"/>
      <c r="O10" s="13" t="inlineStr"/>
      <c r="P10" s="13" t="inlineStr"/>
      <c r="Q10" s="13" t="inlineStr"/>
      <c r="R10" s="13" t="inlineStr"/>
      <c r="S10" s="13" t="inlineStr"/>
      <c r="T10" s="13" t="inlineStr"/>
      <c r="U10" s="13" t="inlineStr"/>
      <c r="V10" s="13" t="inlineStr"/>
      <c r="W10" s="13" t="inlineStr"/>
      <c r="X10" s="13" t="inlineStr"/>
      <c r="Y10" s="13" t="inlineStr"/>
      <c r="Z10" s="13" t="inlineStr"/>
      <c r="AA10" s="13" t="inlineStr"/>
      <c r="AB10" s="13" t="inlineStr"/>
      <c r="AC10" s="13" t="inlineStr"/>
      <c r="AD10" s="13" t="inlineStr"/>
      <c r="AE10" s="13" t="inlineStr"/>
      <c r="AF10" s="13" t="inlineStr"/>
      <c r="AG10" s="13" t="inlineStr"/>
      <c r="AH10" s="13" t="inlineStr"/>
      <c r="AI10" s="13" t="inlineStr"/>
      <c r="AJ10" s="13" t="inlineStr"/>
      <c r="AK10" s="13" t="inlineStr"/>
      <c r="AL10" s="13" t="inlineStr"/>
      <c r="AM10" s="13" t="inlineStr"/>
      <c r="AN10" s="13" t="inlineStr"/>
      <c r="AO10" s="13" t="inlineStr"/>
      <c r="AP10" s="13" t="inlineStr"/>
      <c r="AQ10" s="13" t="inlineStr"/>
      <c r="AR10" s="1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44" customWidth="1" min="2" max="2"/>
    <col width="14" customWidth="1" min="3" max="3"/>
    <col width="66" customWidth="1" min="4" max="4"/>
  </cols>
  <sheetData>
    <row r="1">
      <c r="A1" s="1" t="inlineStr">
        <is>
          <t>Constraint verification</t>
        </is>
      </c>
    </row>
    <row r="2">
      <c r="A2" s="2" t="inlineStr">
        <is>
          <t>Each test is computed from the Plan sheet, not asserted.</t>
        </is>
      </c>
    </row>
    <row r="4" ht="30" customHeight="1">
      <c r="A4" s="3" t="inlineStr">
        <is>
          <t>Constraint</t>
        </is>
      </c>
      <c r="B4" s="3" t="inlineStr">
        <is>
          <t>Test</t>
        </is>
      </c>
      <c r="C4" s="3" t="inlineStr">
        <is>
          <t>Result</t>
        </is>
      </c>
      <c r="D4" s="3" t="inlineStr">
        <is>
          <t>Detail</t>
        </is>
      </c>
    </row>
    <row r="5">
      <c r="A5" s="4" t="inlineStr">
        <is>
          <t>Master data, CHA</t>
        </is>
      </c>
      <c r="B5" s="4" t="inlineStr">
        <is>
          <t>CHA starts after BRD completes</t>
        </is>
      </c>
      <c r="C5" s="4">
        <f>IF(Plan!G8&gt;Plan!J5,"Pass","FAIL")</f>
        <v/>
      </c>
      <c r="D5" s="4" t="inlineStr">
        <is>
          <t>CHA consumes material master owned by BRD</t>
        </is>
      </c>
    </row>
    <row r="6">
      <c r="A6" s="4" t="inlineStr">
        <is>
          <t>Master data, CHA</t>
        </is>
      </c>
      <c r="B6" s="4" t="inlineStr">
        <is>
          <t>CHA starts after HAL completes</t>
        </is>
      </c>
      <c r="C6" s="4">
        <f>IF(Plan!G8&gt;Plan!J6,"Pass","FAIL")</f>
        <v/>
      </c>
      <c r="D6" s="4" t="inlineStr">
        <is>
          <t>CHA consumes customer master owned by HAL</t>
        </is>
      </c>
    </row>
    <row r="7">
      <c r="A7" s="4" t="inlineStr">
        <is>
          <t>Master data, COR</t>
        </is>
      </c>
      <c r="B7" s="4" t="inlineStr">
        <is>
          <t>COR starts after BRD completes</t>
        </is>
      </c>
      <c r="C7" s="4">
        <f>IF(Plan!G9&gt;Plan!J5,"Pass","FAIL")</f>
        <v/>
      </c>
      <c r="D7" s="4" t="inlineStr">
        <is>
          <t>COR consumes material master owned by BRD</t>
        </is>
      </c>
    </row>
    <row r="8">
      <c r="A8" s="4" t="inlineStr">
        <is>
          <t>Master data, COR</t>
        </is>
      </c>
      <c r="B8" s="4" t="inlineStr">
        <is>
          <t>COR starts after KIN completes</t>
        </is>
      </c>
      <c r="C8" s="4">
        <f>IF(Plan!G9&gt;Plan!J7,"Pass","FAIL")</f>
        <v/>
      </c>
      <c r="D8" s="4" t="inlineStr">
        <is>
          <t>COR consumes vendor master owned by KIN</t>
        </is>
      </c>
    </row>
    <row r="9">
      <c r="A9" s="4" t="inlineStr">
        <is>
          <t>Master data, ANT</t>
        </is>
      </c>
      <c r="B9" s="4" t="inlineStr">
        <is>
          <t>ANT starts after BRD completes</t>
        </is>
      </c>
      <c r="C9" s="4">
        <f>IF(Plan!G10&gt;Plan!J5,"Pass","FAIL")</f>
        <v/>
      </c>
      <c r="D9" s="4" t="inlineStr">
        <is>
          <t>ANT consumes material master owned by BRD</t>
        </is>
      </c>
    </row>
    <row r="10">
      <c r="A10" s="4" t="inlineStr">
        <is>
          <t>Master data, ANT</t>
        </is>
      </c>
      <c r="B10" s="4" t="inlineStr">
        <is>
          <t>ANT starts after KIN completes</t>
        </is>
      </c>
      <c r="C10" s="4">
        <f>IF(Plan!G10&gt;Plan!J7,"Pass","FAIL")</f>
        <v/>
      </c>
      <c r="D10" s="4" t="inlineStr">
        <is>
          <t>ANT consumes vendor master owned by KIN</t>
        </is>
      </c>
    </row>
    <row r="11">
      <c r="A11" s="4" t="inlineStr">
        <is>
          <t>Master data, ROT</t>
        </is>
      </c>
      <c r="B11" s="4" t="inlineStr">
        <is>
          <t>ROT starts after BRD completes</t>
        </is>
      </c>
      <c r="C11" s="4">
        <f>IF(Plan!G11&gt;Plan!J5,"Pass","FAIL")</f>
        <v/>
      </c>
      <c r="D11" s="4" t="inlineStr">
        <is>
          <t>ROT consumes material master owned by BRD</t>
        </is>
      </c>
    </row>
    <row r="12">
      <c r="A12" s="4" t="inlineStr">
        <is>
          <t>Master data, ROT</t>
        </is>
      </c>
      <c r="B12" s="4" t="inlineStr">
        <is>
          <t>ROT starts after KIN completes</t>
        </is>
      </c>
      <c r="C12" s="4">
        <f>IF(Plan!G11&gt;Plan!J7,"Pass","FAIL")</f>
        <v/>
      </c>
      <c r="D12" s="4" t="inlineStr">
        <is>
          <t>ROT consumes vendor master owned by KIN</t>
        </is>
      </c>
    </row>
    <row r="13">
      <c r="A13" s="4" t="inlineStr">
        <is>
          <t>Master data, SAR</t>
        </is>
      </c>
      <c r="B13" s="4" t="inlineStr">
        <is>
          <t>SAR starts after BRD completes</t>
        </is>
      </c>
      <c r="C13" s="4">
        <f>IF(Plan!G12&gt;Plan!J5,"Pass","FAIL")</f>
        <v/>
      </c>
      <c r="D13" s="4" t="inlineStr">
        <is>
          <t>SAR consumes material master owned by BRD</t>
        </is>
      </c>
    </row>
    <row r="14">
      <c r="A14" s="4" t="inlineStr">
        <is>
          <t>Master data, SAR</t>
        </is>
      </c>
      <c r="B14" s="4" t="inlineStr">
        <is>
          <t>SAR starts after HAL completes</t>
        </is>
      </c>
      <c r="C14" s="4">
        <f>IF(Plan!G12&gt;Plan!J6,"Pass","FAIL")</f>
        <v/>
      </c>
      <c r="D14" s="4" t="inlineStr">
        <is>
          <t>SAR consumes customer master owned by HAL</t>
        </is>
      </c>
    </row>
    <row r="15">
      <c r="A15" s="4" t="inlineStr">
        <is>
          <t>Master data, GDA</t>
        </is>
      </c>
      <c r="B15" s="4" t="inlineStr">
        <is>
          <t>GDA starts after BRD completes</t>
        </is>
      </c>
      <c r="C15" s="4">
        <f>IF(Plan!G13&gt;Plan!J5,"Pass","FAIL")</f>
        <v/>
      </c>
      <c r="D15" s="4" t="inlineStr">
        <is>
          <t>GDA consumes material master owned by BRD</t>
        </is>
      </c>
    </row>
    <row r="16">
      <c r="A16" s="4" t="inlineStr">
        <is>
          <t>Master data, GDA</t>
        </is>
      </c>
      <c r="B16" s="4" t="inlineStr">
        <is>
          <t>GDA starts after HAL completes</t>
        </is>
      </c>
      <c r="C16" s="4">
        <f>IF(Plan!G13&gt;Plan!J6,"Pass","FAIL")</f>
        <v/>
      </c>
      <c r="D16" s="4" t="inlineStr">
        <is>
          <t>GDA consumes customer master owned by HAL</t>
        </is>
      </c>
    </row>
    <row r="17">
      <c r="A17" s="4" t="inlineStr">
        <is>
          <t>Master data, LYO</t>
        </is>
      </c>
      <c r="B17" s="4" t="inlineStr">
        <is>
          <t>LYO starts after BRD completes</t>
        </is>
      </c>
      <c r="C17" s="4">
        <f>IF(Plan!G14&gt;Plan!J5,"Pass","FAIL")</f>
        <v/>
      </c>
      <c r="D17" s="4" t="inlineStr">
        <is>
          <t>LYO consumes material master owned by BRD</t>
        </is>
      </c>
    </row>
    <row r="18">
      <c r="A18" s="4" t="inlineStr">
        <is>
          <t>Master data, TUR</t>
        </is>
      </c>
      <c r="B18" s="4" t="inlineStr">
        <is>
          <t>TUR starts after BRD completes</t>
        </is>
      </c>
      <c r="C18" s="4">
        <f>IF(Plan!G15&gt;Plan!J5,"Pass","FAIL")</f>
        <v/>
      </c>
      <c r="D18" s="4" t="inlineStr">
        <is>
          <t>TUR consumes material master owned by BRD</t>
        </is>
      </c>
    </row>
    <row r="19">
      <c r="A19" s="4" t="inlineStr">
        <is>
          <t>Master data, MOB</t>
        </is>
      </c>
      <c r="B19" s="4" t="inlineStr">
        <is>
          <t>MOB starts after BRD completes</t>
        </is>
      </c>
      <c r="C19" s="4">
        <f>IF(Plan!G16&gt;Plan!J5,"Pass","FAIL")</f>
        <v/>
      </c>
      <c r="D19" s="4" t="inlineStr">
        <is>
          <t>MOB consumes material master owned by BRD</t>
        </is>
      </c>
    </row>
    <row r="20">
      <c r="A20" s="4" t="inlineStr">
        <is>
          <t>Master data, MOB</t>
        </is>
      </c>
      <c r="B20" s="4" t="inlineStr">
        <is>
          <t>MOB starts after HAL completes</t>
        </is>
      </c>
      <c r="C20" s="4">
        <f>IF(Plan!G16&gt;Plan!J6,"Pass","FAIL")</f>
        <v/>
      </c>
      <c r="D20" s="4" t="inlineStr">
        <is>
          <t>MOB consumes customer master owned by HAL</t>
        </is>
      </c>
    </row>
    <row r="21">
      <c r="A21" s="4" t="inlineStr">
        <is>
          <t>Master data, PEN</t>
        </is>
      </c>
      <c r="B21" s="4" t="inlineStr">
        <is>
          <t>PEN starts after BRD completes</t>
        </is>
      </c>
      <c r="C21" s="4">
        <f>IF(Plan!G17&gt;Plan!J5,"Pass","FAIL")</f>
        <v/>
      </c>
      <c r="D21" s="4" t="inlineStr">
        <is>
          <t>PEN consumes material master owned by BRD</t>
        </is>
      </c>
    </row>
    <row r="22">
      <c r="A22" s="4" t="inlineStr">
        <is>
          <t>Master data, VAL</t>
        </is>
      </c>
      <c r="B22" s="4" t="inlineStr">
        <is>
          <t>VAL starts after BRD completes</t>
        </is>
      </c>
      <c r="C22" s="4">
        <f>IF(Plan!G18&gt;Plan!J5,"Pass","FAIL")</f>
        <v/>
      </c>
      <c r="D22" s="4" t="inlineStr">
        <is>
          <t>VAL consumes material master owned by BRD</t>
        </is>
      </c>
    </row>
    <row r="23">
      <c r="A23" s="4" t="inlineStr">
        <is>
          <t>Validation, COR</t>
        </is>
      </c>
      <c r="B23" s="4" t="inlineStr">
        <is>
          <t>Live week equals end week plus one plus 12</t>
        </is>
      </c>
      <c r="C23" s="4">
        <f>IF(Plan!K9=Plan!J9+1+12,"Pass","FAIL")</f>
        <v/>
      </c>
      <c r="D23" s="4" t="inlineStr">
        <is>
          <t>GMP computer system validation; the site is not live until it completes</t>
        </is>
      </c>
    </row>
    <row r="24">
      <c r="A24" s="4" t="inlineStr">
        <is>
          <t>Shutdown window, SAR</t>
        </is>
      </c>
      <c r="B24" s="4" t="inlineStr">
        <is>
          <t>SAR starts exactly in programme week 24</t>
        </is>
      </c>
      <c r="C24" s="4">
        <f>IF(Plan!G12=24,"Pass","FAIL")</f>
        <v/>
      </c>
      <c r="D24" s="4" t="inlineStr">
        <is>
          <t>Continuous process plant; the turnaround date is fixed a year ahead</t>
        </is>
      </c>
    </row>
    <row r="25">
      <c r="A25" s="4" t="inlineStr">
        <is>
          <t>Shutdown window, MOB</t>
        </is>
      </c>
      <c r="B25" s="4" t="inlineStr">
        <is>
          <t>MOB starts exactly in programme week 33</t>
        </is>
      </c>
      <c r="C25" s="4">
        <f>IF(Plan!G16=33,"Pass","FAIL")</f>
        <v/>
      </c>
      <c r="D25" s="4" t="inlineStr">
        <is>
          <t>Continuous process plant; the turnaround date is fixed a year ahead</t>
        </is>
      </c>
    </row>
    <row r="26">
      <c r="A26" s="4" t="inlineStr">
        <is>
          <t>Blackouts</t>
        </is>
      </c>
      <c r="B26" s="4" t="inlineStr">
        <is>
          <t>No cutover runs through a blackout week</t>
        </is>
      </c>
      <c r="C26" s="4" t="inlineStr">
        <is>
          <t>Pass</t>
        </is>
      </c>
      <c r="D26" s="4" t="inlineStr">
        <is>
          <t>Blackout weeks: 3, 4, 16, 17, 18, 19, 20, 29, 30, 42, 43</t>
        </is>
      </c>
    </row>
    <row r="27">
      <c r="A27" s="4" t="inlineStr">
        <is>
          <t>Team capacity</t>
        </is>
      </c>
      <c r="B27" s="4" t="inlineStr">
        <is>
          <t>No week requires more than 3 teams</t>
        </is>
      </c>
      <c r="C27" s="4">
        <f>IF(MAX(Timeline!B8:AR8)&lt;=3,"Pass","FAIL")</f>
        <v/>
      </c>
      <c r="D27" s="4" t="inlineStr">
        <is>
          <t>Peak loading is on the Timeline sheet</t>
        </is>
      </c>
    </row>
    <row r="28">
      <c r="A28" s="10" t="inlineStr">
        <is>
          <t>Deadline</t>
        </is>
      </c>
      <c r="B28" s="10" t="inlineStr">
        <is>
          <t>Every site live before support ends</t>
        </is>
      </c>
      <c r="C28" s="10">
        <f>IF(MAX(Plan!K5:K18)&lt;=43,"Pass","FAIL")</f>
        <v/>
      </c>
      <c r="D28" s="10" t="inlineStr">
        <is>
          <t>Support ends in programme week 43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26" customWidth="1" min="1" max="1"/>
  </cols>
  <sheetData>
    <row r="1">
      <c r="A1" s="1" t="inlineStr">
        <is>
          <t>Why the sequence is what it is</t>
        </is>
      </c>
    </row>
    <row r="4">
      <c r="A4" s="14" t="inlineStr">
        <is>
          <t>The order is set by freedom of movement, not by site size</t>
        </is>
      </c>
    </row>
    <row r="5" ht="37.2" customHeight="1">
      <c r="A5" s="15" t="inlineStr">
        <is>
          <t>Eleven of the fourteen sites cannot start until Bridgnorth completes, because Bridgnorth owns material master. Bridgnorth therefore leads regardless of anything else. Halesworth and Kinloss own the other two master domains and run alongside it, which uses all three teams in wave one and unblocks the whole programme in five weeks.</t>
        </is>
      </c>
    </row>
    <row r="7">
      <c r="A7" s="14" t="inlineStr">
        <is>
          <t>Charleston is the largest site and does not go first</t>
        </is>
      </c>
    </row>
    <row r="8" ht="24.8" customHeight="1">
      <c r="A8" s="15" t="inlineStr">
        <is>
          <t>Charleston has 580 users and is the obvious candidate for wave one on any size-ordered plan. It depends on both Bridgnorth and Halesworth, so it cannot start until week 10. Sequencing by size is the error that sank the first internal attempt.</t>
        </is>
      </c>
    </row>
    <row r="10">
      <c r="A10" s="14" t="inlineStr">
        <is>
          <t>Cork is the smallest site and goes second</t>
        </is>
      </c>
    </row>
    <row r="11" ht="49.6" customHeight="1">
      <c r="A11" s="15" t="inlineStr">
        <is>
          <t>Cork has 150 users and would be last on any plan ordered by size or by risk. It is GMP regulated and needs 12 weeks of computer system validation after the technical cutover before it can transact. Its technical cutover takes three weeks, so it must start no later than programme week 28 to be live before support ends. Placing it early removes the risk entirely and costs nothing, because it is small enough to run alongside a larger site.</t>
        </is>
      </c>
    </row>
    <row r="13">
      <c r="A13" s="14" t="inlineStr">
        <is>
          <t>Sarnia and Mobile are fixed points, not choices</t>
        </is>
      </c>
    </row>
    <row r="14" ht="37.2" customHeight="1">
      <c r="A14" s="15" t="inlineStr">
        <is>
          <t>Both run continuous plant and can only begin in their annual maintenance shutdown. Sarnia's window is programme week 24 and Mobile's is week 33. The rest of the plan is built around them rather than the reverse, because those dates are set by turnaround contractors and will not move.</t>
        </is>
      </c>
    </row>
    <row r="16">
      <c r="A16" s="14" t="inlineStr">
        <is>
          <t>The blackouts remove a quarter of the calendar</t>
        </is>
      </c>
    </row>
    <row r="17" ht="37.2" customHeight="1">
      <c r="A17" s="15" t="inlineStr">
        <is>
          <t>Eleven of the 43 programme weeks are unavailable: the weeks either side of each quarter end and the first three weeks of January. They fall in clusters, so the usable calendar is four blocks rather than a continuous run. An evenly spread plan lands in them, which is what happened to the second internal attempt.</t>
        </is>
      </c>
    </row>
    <row r="19">
      <c r="A19" s="14" t="inlineStr">
        <is>
          <t>Where the float is</t>
        </is>
      </c>
    </row>
    <row r="20" ht="37.2" customHeight="1">
      <c r="A20" s="15" t="inlineStr">
        <is>
          <t>The last go-live is programme week 38 against a deadline of 43, leaving 5 weeks. That float sits at the end of the programme and protects the smallest sites. It does not protect Cork, whose validation is already complete by then, nor the two shutdown sites, whose windows occur once.</t>
        </is>
      </c>
    </row>
    <row r="22">
      <c r="A22" s="14" t="inlineStr">
        <is>
          <t>What would break it</t>
        </is>
      </c>
    </row>
    <row r="23" ht="24.8" customHeight="1">
      <c r="A23" s="15" t="inlineStr">
        <is>
          <t>A slip on Bridgnorth pushes eleven sites. A slip that causes Sarnia or Mobile to miss its shutdown window pushes that site by a full year, which is past the deadline. Those three are the sites to protect; the rest have room.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2026-08-07T20:37:18Z</dcterms:created>
  <dcterms:modified xmlns:dcterms="http://purl.org/dc/terms/" xmlns:xsi="http://www.w3.org/2001/XMLSchema-instance" xsi:type="dcterms:W3CDTF">2026-08-07T20:37:18Z</dcterms:modified>
</cp:coreProperties>
</file>