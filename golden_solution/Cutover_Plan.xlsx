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ference" sheetId="1" state="visible" r:id="rId1"/>
    <sheet xmlns:r="http://schemas.openxmlformats.org/officeDocument/2006/relationships" name="Plan" sheetId="2" state="visible" r:id="rId2"/>
    <sheet xmlns:r="http://schemas.openxmlformats.org/officeDocument/2006/relationships" name="Timeline" sheetId="3" state="visible" r:id="rId3"/>
    <sheet xmlns:r="http://schemas.openxmlformats.org/officeDocument/2006/relationships" name="Checks" sheetId="4" state="visible" r:id="rId4"/>
    <sheet xmlns:r="http://schemas.openxmlformats.org/officeDocument/2006/relationships" name="Sequencing" sheetId="5" state="visible" r:id="rId5"/>
  </sheets>
  <definedNames/>
  <calcPr calcId="124519" fullCalcOnLoad="1"/>
</workbook>
</file>

<file path=xl/styles.xml><?xml version="1.0" encoding="utf-8"?>
<styleSheet xmlns="http://schemas.openxmlformats.org/spreadsheetml/2006/main">
  <numFmts count="1">
    <numFmt numFmtId="164" formatCode="yyyy-mm-dd"/>
  </numFmts>
  <fonts count="10">
    <font>
      <name val="Calibri"/>
      <family val="2"/>
      <color theme="1"/>
      <sz val="11"/>
      <scheme val="minor"/>
    </font>
    <font>
      <b val="1"/>
      <color rgb="002E4057"/>
      <sz val="13"/>
    </font>
    <font>
      <i val="1"/>
      <color rgb="00595959"/>
      <sz val="9"/>
    </font>
    <font>
      <color rgb="00000000"/>
      <sz val="9.5"/>
    </font>
    <font>
      <color rgb="000033CC"/>
      <sz val="9.5"/>
    </font>
    <font>
      <b val="1"/>
      <color rgb="00FFFFFF"/>
      <sz val="9.5"/>
    </font>
    <font>
      <b val="1"/>
      <sz val="9.5"/>
    </font>
    <font>
      <b val="1"/>
      <sz val="8.5"/>
    </font>
    <font>
      <sz val="8"/>
    </font>
    <font>
      <b val="1"/>
      <color rgb="002E4057"/>
      <sz val="10.5"/>
    </font>
  </fonts>
  <fills count="5">
    <fill>
      <patternFill/>
    </fill>
    <fill>
      <patternFill patternType="gray125"/>
    </fill>
    <fill>
      <patternFill patternType="solid">
        <fgColor rgb="002E4057"/>
      </patternFill>
    </fill>
    <fill>
      <patternFill patternType="solid">
        <fgColor rgb="00EDEDED"/>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1" applyAlignment="1" pivotButton="0" quotePrefix="0" xfId="0">
      <alignment vertical="top" wrapText="1"/>
    </xf>
    <xf numFmtId="164" fontId="4" fillId="0" borderId="1" applyAlignment="1" pivotButton="0" quotePrefix="0" xfId="0">
      <alignment vertical="top" wrapText="1"/>
    </xf>
    <xf numFmtId="0" fontId="4" fillId="0" borderId="1" applyAlignment="1" pivotButton="0" quotePrefix="0" xfId="0">
      <alignment vertical="top" wrapText="1"/>
    </xf>
    <xf numFmtId="0" fontId="5" fillId="2" borderId="1" applyAlignment="1" pivotButton="0" quotePrefix="0" xfId="0">
      <alignment horizontal="center" vertical="center" wrapText="1"/>
    </xf>
    <xf numFmtId="0" fontId="6" fillId="0" borderId="0" pivotButton="0" quotePrefix="0" xfId="0"/>
    <xf numFmtId="0" fontId="4" fillId="0" borderId="1" pivotButton="0" quotePrefix="0" xfId="0"/>
    <xf numFmtId="3" fontId="3" fillId="0" borderId="1" applyAlignment="1" pivotButton="0" quotePrefix="0" xfId="0">
      <alignment vertical="top" wrapText="1"/>
    </xf>
    <xf numFmtId="164" fontId="3" fillId="0" borderId="1" applyAlignment="1" pivotButton="0" quotePrefix="0" xfId="0">
      <alignment vertical="top" wrapText="1"/>
    </xf>
    <xf numFmtId="0" fontId="6" fillId="3" borderId="1" applyAlignment="1" pivotButton="0" quotePrefix="0" xfId="0">
      <alignment vertical="top" wrapText="1"/>
    </xf>
    <xf numFmtId="3" fontId="6" fillId="3" borderId="1" applyAlignment="1" pivotButton="0" quotePrefix="0" xfId="0">
      <alignment vertical="top" wrapText="1"/>
    </xf>
    <xf numFmtId="164" fontId="6" fillId="3" borderId="1" applyAlignment="1" pivotButton="0" quotePrefix="0" xfId="0">
      <alignment vertical="top" wrapText="1"/>
    </xf>
    <xf numFmtId="0" fontId="6" fillId="4" borderId="1" applyAlignment="1" pivotButton="0" quotePrefix="0" xfId="0">
      <alignment vertical="top" wrapText="1"/>
    </xf>
    <xf numFmtId="0" fontId="7" fillId="0" borderId="0" pivotButton="0" quotePrefix="0" xfId="0"/>
    <xf numFmtId="0" fontId="8" fillId="0" borderId="1" applyAlignment="1" pivotButton="0" quotePrefix="0" xfId="0">
      <alignment horizontal="center"/>
    </xf>
    <xf numFmtId="0" fontId="5" fillId="2" borderId="1" applyAlignment="1" pivotButton="0" quotePrefix="0" xfId="0">
      <alignment horizontal="center"/>
    </xf>
    <xf numFmtId="0" fontId="9"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6"/>
  <sheetViews>
    <sheetView showGridLines="0" workbookViewId="0">
      <selection activeCell="A1" sqref="A1"/>
    </sheetView>
  </sheetViews>
  <sheetFormatPr baseColWidth="8" defaultRowHeight="15"/>
  <cols>
    <col width="38" customWidth="1" min="1" max="1"/>
    <col width="16" customWidth="1" min="2" max="2"/>
    <col width="16" customWidth="1" min="3" max="3"/>
    <col width="12" customWidth="1" min="4" max="4"/>
    <col width="20" customWidth="1" min="5" max="5"/>
    <col width="14" customWidth="1" min="6" max="6"/>
    <col width="10" customWidth="1" min="7" max="7"/>
    <col width="14" customWidth="1" min="8" max="8"/>
    <col width="8" customWidth="1" min="9" max="9"/>
  </cols>
  <sheetData>
    <row r="1">
      <c r="A1" s="1" t="inlineStr">
        <is>
          <t>Reference data</t>
        </is>
      </c>
    </row>
    <row r="2">
      <c r="A2" s="2" t="inlineStr">
        <is>
          <t>Transcribed from the site profile, the programme brief and the vendor notice. Blue cells are typed source data; everything on the other sheets computes from here.</t>
        </is>
      </c>
    </row>
    <row r="4">
      <c r="A4" s="3" t="inlineStr">
        <is>
          <t>Programme week 1 commences</t>
        </is>
      </c>
      <c r="B4" s="4" t="n">
        <v>46272</v>
      </c>
    </row>
    <row r="5">
      <c r="A5" s="3" t="inlineStr">
        <is>
          <t>Deployment teams</t>
        </is>
      </c>
      <c r="B5" s="5" t="n">
        <v>3</v>
      </c>
    </row>
    <row r="6">
      <c r="A6" s="3" t="inlineStr">
        <is>
          <t>Validation weeks, regulated site</t>
        </is>
      </c>
      <c r="B6" s="5" t="n">
        <v>12</v>
      </c>
    </row>
    <row r="7">
      <c r="A7" s="3" t="inlineStr">
        <is>
          <t>Legacy support ends</t>
        </is>
      </c>
      <c r="B7" s="4" t="n">
        <v>46568</v>
      </c>
    </row>
    <row r="8">
      <c r="A8" s="3" t="inlineStr">
        <is>
          <t>Support ends, programme week</t>
        </is>
      </c>
      <c r="B8" s="3">
        <f>INT((B7-B4)/7)+1</f>
        <v/>
      </c>
    </row>
    <row r="10" ht="30" customHeight="1">
      <c r="A10" s="6" t="inlineStr">
        <is>
          <t>Code</t>
        </is>
      </c>
      <c r="B10" s="6" t="inlineStr">
        <is>
          <t>Site</t>
        </is>
      </c>
      <c r="C10" s="6" t="inlineStr">
        <is>
          <t>Country</t>
        </is>
      </c>
      <c r="D10" s="6" t="inlineStr">
        <is>
          <t>Users</t>
        </is>
      </c>
      <c r="E10" s="6" t="inlineStr">
        <is>
          <t>Master data owned</t>
        </is>
      </c>
      <c r="F10" s="6" t="inlineStr">
        <is>
          <t>Depends on</t>
        </is>
      </c>
      <c r="G10" s="6" t="inlineStr">
        <is>
          <t>Weeks</t>
        </is>
      </c>
      <c r="H10" s="6" t="inlineStr">
        <is>
          <t>Shutdown week</t>
        </is>
      </c>
      <c r="I10" s="6" t="inlineStr">
        <is>
          <t>GMP</t>
        </is>
      </c>
    </row>
    <row r="11">
      <c r="A11" s="5" t="inlineStr">
        <is>
          <t>BRD</t>
        </is>
      </c>
      <c r="B11" s="5" t="inlineStr">
        <is>
          <t>Bridgnorth</t>
        </is>
      </c>
      <c r="C11" s="5" t="inlineStr">
        <is>
          <t>United Kingdom</t>
        </is>
      </c>
      <c r="D11" s="5" t="n">
        <v>610</v>
      </c>
      <c r="E11" s="5" t="inlineStr">
        <is>
          <t>Material master</t>
        </is>
      </c>
      <c r="F11" s="5" t="inlineStr"/>
      <c r="G11" s="5" t="n">
        <v>5</v>
      </c>
      <c r="H11" s="5" t="inlineStr"/>
      <c r="I11" s="5" t="inlineStr">
        <is>
          <t>No</t>
        </is>
      </c>
    </row>
    <row r="12">
      <c r="A12" s="5" t="inlineStr">
        <is>
          <t>HAL</t>
        </is>
      </c>
      <c r="B12" s="5" t="inlineStr">
        <is>
          <t>Halesworth</t>
        </is>
      </c>
      <c r="C12" s="5" t="inlineStr">
        <is>
          <t>United Kingdom</t>
        </is>
      </c>
      <c r="D12" s="5" t="n">
        <v>240</v>
      </c>
      <c r="E12" s="5" t="inlineStr">
        <is>
          <t>Customer master</t>
        </is>
      </c>
      <c r="F12" s="5" t="inlineStr"/>
      <c r="G12" s="5" t="n">
        <v>4</v>
      </c>
      <c r="H12" s="5" t="inlineStr"/>
      <c r="I12" s="5" t="inlineStr">
        <is>
          <t>No</t>
        </is>
      </c>
    </row>
    <row r="13">
      <c r="A13" s="5" t="inlineStr">
        <is>
          <t>KIN</t>
        </is>
      </c>
      <c r="B13" s="5" t="inlineStr">
        <is>
          <t>Kinloss</t>
        </is>
      </c>
      <c r="C13" s="5" t="inlineStr">
        <is>
          <t>United Kingdom</t>
        </is>
      </c>
      <c r="D13" s="5" t="n">
        <v>180</v>
      </c>
      <c r="E13" s="5" t="inlineStr">
        <is>
          <t>Vendor master</t>
        </is>
      </c>
      <c r="F13" s="5" t="inlineStr"/>
      <c r="G13" s="5" t="n">
        <v>4</v>
      </c>
      <c r="H13" s="5" t="inlineStr"/>
      <c r="I13" s="5" t="inlineStr">
        <is>
          <t>No</t>
        </is>
      </c>
    </row>
    <row r="14">
      <c r="A14" s="5" t="inlineStr">
        <is>
          <t>ANT</t>
        </is>
      </c>
      <c r="B14" s="5" t="inlineStr">
        <is>
          <t>Antwerp</t>
        </is>
      </c>
      <c r="C14" s="5" t="inlineStr">
        <is>
          <t>Belgium</t>
        </is>
      </c>
      <c r="D14" s="5" t="n">
        <v>520</v>
      </c>
      <c r="E14" s="5" t="inlineStr"/>
      <c r="F14" s="5" t="inlineStr">
        <is>
          <t>BRD, KIN</t>
        </is>
      </c>
      <c r="G14" s="5" t="n">
        <v>5</v>
      </c>
      <c r="H14" s="5" t="inlineStr"/>
      <c r="I14" s="5" t="inlineStr">
        <is>
          <t>No</t>
        </is>
      </c>
    </row>
    <row r="15">
      <c r="A15" s="5" t="inlineStr">
        <is>
          <t>ROT</t>
        </is>
      </c>
      <c r="B15" s="5" t="inlineStr">
        <is>
          <t>Rotterdam</t>
        </is>
      </c>
      <c r="C15" s="5" t="inlineStr">
        <is>
          <t>Netherlands</t>
        </is>
      </c>
      <c r="D15" s="5" t="n">
        <v>460</v>
      </c>
      <c r="E15" s="5" t="inlineStr"/>
      <c r="F15" s="5" t="inlineStr">
        <is>
          <t>BRD, KIN</t>
        </is>
      </c>
      <c r="G15" s="5" t="n">
        <v>4</v>
      </c>
      <c r="H15" s="5" t="inlineStr"/>
      <c r="I15" s="5" t="inlineStr">
        <is>
          <t>No</t>
        </is>
      </c>
    </row>
    <row r="16">
      <c r="A16" s="5" t="inlineStr">
        <is>
          <t>LYO</t>
        </is>
      </c>
      <c r="B16" s="5" t="inlineStr">
        <is>
          <t>Lyon</t>
        </is>
      </c>
      <c r="C16" s="5" t="inlineStr">
        <is>
          <t>France</t>
        </is>
      </c>
      <c r="D16" s="5" t="n">
        <v>310</v>
      </c>
      <c r="E16" s="5" t="inlineStr"/>
      <c r="F16" s="5" t="inlineStr">
        <is>
          <t>BRD</t>
        </is>
      </c>
      <c r="G16" s="5" t="n">
        <v>4</v>
      </c>
      <c r="H16" s="5" t="inlineStr"/>
      <c r="I16" s="5" t="inlineStr">
        <is>
          <t>No</t>
        </is>
      </c>
    </row>
    <row r="17">
      <c r="A17" s="5" t="inlineStr">
        <is>
          <t>TUR</t>
        </is>
      </c>
      <c r="B17" s="5" t="inlineStr">
        <is>
          <t>Turin</t>
        </is>
      </c>
      <c r="C17" s="5" t="inlineStr">
        <is>
          <t>Italy</t>
        </is>
      </c>
      <c r="D17" s="5" t="n">
        <v>290</v>
      </c>
      <c r="E17" s="5" t="inlineStr"/>
      <c r="F17" s="5" t="inlineStr">
        <is>
          <t>BRD</t>
        </is>
      </c>
      <c r="G17" s="5" t="n">
        <v>4</v>
      </c>
      <c r="H17" s="5" t="inlineStr"/>
      <c r="I17" s="5" t="inlineStr">
        <is>
          <t>No</t>
        </is>
      </c>
    </row>
    <row r="18">
      <c r="A18" s="5" t="inlineStr">
        <is>
          <t>VAL</t>
        </is>
      </c>
      <c r="B18" s="5" t="inlineStr">
        <is>
          <t>Valencia</t>
        </is>
      </c>
      <c r="C18" s="5" t="inlineStr">
        <is>
          <t>Spain</t>
        </is>
      </c>
      <c r="D18" s="5" t="n">
        <v>205</v>
      </c>
      <c r="E18" s="5" t="inlineStr"/>
      <c r="F18" s="5" t="inlineStr">
        <is>
          <t>BRD</t>
        </is>
      </c>
      <c r="G18" s="5" t="n">
        <v>3</v>
      </c>
      <c r="H18" s="5" t="inlineStr"/>
      <c r="I18" s="5" t="inlineStr">
        <is>
          <t>No</t>
        </is>
      </c>
    </row>
    <row r="19">
      <c r="A19" s="5" t="inlineStr">
        <is>
          <t>GDA</t>
        </is>
      </c>
      <c r="B19" s="5" t="inlineStr">
        <is>
          <t>Gdansk</t>
        </is>
      </c>
      <c r="C19" s="5" t="inlineStr">
        <is>
          <t>Poland</t>
        </is>
      </c>
      <c r="D19" s="5" t="n">
        <v>340</v>
      </c>
      <c r="E19" s="5" t="inlineStr"/>
      <c r="F19" s="5" t="inlineStr">
        <is>
          <t>BRD, HAL</t>
        </is>
      </c>
      <c r="G19" s="5" t="n">
        <v>4</v>
      </c>
      <c r="H19" s="5" t="inlineStr"/>
      <c r="I19" s="5" t="inlineStr">
        <is>
          <t>No</t>
        </is>
      </c>
    </row>
    <row r="20">
      <c r="A20" s="5" t="inlineStr">
        <is>
          <t>CHA</t>
        </is>
      </c>
      <c r="B20" s="5" t="inlineStr">
        <is>
          <t>Charleston</t>
        </is>
      </c>
      <c r="C20" s="5" t="inlineStr">
        <is>
          <t>United States</t>
        </is>
      </c>
      <c r="D20" s="5" t="n">
        <v>580</v>
      </c>
      <c r="E20" s="5" t="inlineStr"/>
      <c r="F20" s="5" t="inlineStr">
        <is>
          <t>BRD, HAL</t>
        </is>
      </c>
      <c r="G20" s="5" t="n">
        <v>5</v>
      </c>
      <c r="H20" s="5" t="inlineStr"/>
      <c r="I20" s="5" t="inlineStr">
        <is>
          <t>No</t>
        </is>
      </c>
    </row>
    <row r="21">
      <c r="A21" s="5" t="inlineStr">
        <is>
          <t>MOB</t>
        </is>
      </c>
      <c r="B21" s="5" t="inlineStr">
        <is>
          <t>Mobile</t>
        </is>
      </c>
      <c r="C21" s="5" t="inlineStr">
        <is>
          <t>United States</t>
        </is>
      </c>
      <c r="D21" s="5" t="n">
        <v>395</v>
      </c>
      <c r="E21" s="5" t="inlineStr"/>
      <c r="F21" s="5" t="inlineStr">
        <is>
          <t>BRD, HAL</t>
        </is>
      </c>
      <c r="G21" s="5" t="n">
        <v>4</v>
      </c>
      <c r="H21" s="5" t="n">
        <v>33</v>
      </c>
      <c r="I21" s="5" t="inlineStr">
        <is>
          <t>No</t>
        </is>
      </c>
    </row>
    <row r="22">
      <c r="A22" s="5" t="inlineStr">
        <is>
          <t>SAR</t>
        </is>
      </c>
      <c r="B22" s="5" t="inlineStr">
        <is>
          <t>Sarnia</t>
        </is>
      </c>
      <c r="C22" s="5" t="inlineStr">
        <is>
          <t>Canada</t>
        </is>
      </c>
      <c r="D22" s="5" t="n">
        <v>260</v>
      </c>
      <c r="E22" s="5" t="inlineStr"/>
      <c r="F22" s="5" t="inlineStr">
        <is>
          <t>BRD, HAL</t>
        </is>
      </c>
      <c r="G22" s="5" t="n">
        <v>4</v>
      </c>
      <c r="H22" s="5" t="n">
        <v>24</v>
      </c>
      <c r="I22" s="5" t="inlineStr">
        <is>
          <t>No</t>
        </is>
      </c>
    </row>
    <row r="23">
      <c r="A23" s="5" t="inlineStr">
        <is>
          <t>PEN</t>
        </is>
      </c>
      <c r="B23" s="5" t="inlineStr">
        <is>
          <t>Penang</t>
        </is>
      </c>
      <c r="C23" s="5" t="inlineStr">
        <is>
          <t>Malaysia</t>
        </is>
      </c>
      <c r="D23" s="5" t="n">
        <v>215</v>
      </c>
      <c r="E23" s="5" t="inlineStr"/>
      <c r="F23" s="5" t="inlineStr">
        <is>
          <t>BRD</t>
        </is>
      </c>
      <c r="G23" s="5" t="n">
        <v>3</v>
      </c>
      <c r="H23" s="5" t="inlineStr"/>
      <c r="I23" s="5" t="inlineStr">
        <is>
          <t>No</t>
        </is>
      </c>
    </row>
    <row r="24">
      <c r="A24" s="5" t="inlineStr">
        <is>
          <t>COR</t>
        </is>
      </c>
      <c r="B24" s="5" t="inlineStr">
        <is>
          <t>Cork</t>
        </is>
      </c>
      <c r="C24" s="5" t="inlineStr">
        <is>
          <t>Ireland</t>
        </is>
      </c>
      <c r="D24" s="5" t="n">
        <v>150</v>
      </c>
      <c r="E24" s="5" t="inlineStr"/>
      <c r="F24" s="5" t="inlineStr">
        <is>
          <t>BRD, KIN</t>
        </is>
      </c>
      <c r="G24" s="5" t="n">
        <v>3</v>
      </c>
      <c r="H24" s="5" t="inlineStr"/>
      <c r="I24" s="5" t="inlineStr">
        <is>
          <t>Yes</t>
        </is>
      </c>
    </row>
    <row r="26">
      <c r="A26" s="7" t="inlineStr">
        <is>
          <t>Financial blackout weeks</t>
        </is>
      </c>
      <c r="B26" s="8" t="n">
        <v>3</v>
      </c>
      <c r="C26" s="8" t="n">
        <v>4</v>
      </c>
      <c r="D26" s="8" t="n">
        <v>16</v>
      </c>
      <c r="E26" s="8" t="n">
        <v>17</v>
      </c>
      <c r="F26" s="8" t="n">
        <v>18</v>
      </c>
      <c r="G26" s="8" t="n">
        <v>19</v>
      </c>
      <c r="H26" s="8" t="n">
        <v>20</v>
      </c>
      <c r="I26" s="8" t="n">
        <v>29</v>
      </c>
      <c r="J26" s="8" t="n">
        <v>30</v>
      </c>
      <c r="K26" s="8" t="n">
        <v>42</v>
      </c>
      <c r="L26" s="8" t="n">
        <v>43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6" customWidth="1" min="1" max="1"/>
    <col width="7" customWidth="1" min="2" max="2"/>
    <col width="13" customWidth="1" min="3" max="3"/>
    <col width="15" customWidth="1" min="4" max="4"/>
    <col width="8" customWidth="1" min="5" max="5"/>
    <col width="6" customWidth="1" min="6" max="6"/>
    <col width="10" customWidth="1" min="7" max="7"/>
    <col width="15" customWidth="1" min="8" max="8"/>
    <col width="7" customWidth="1" min="9" max="9"/>
    <col width="10" customWidth="1" min="10" max="10"/>
    <col width="10" customWidth="1" min="11" max="11"/>
    <col width="14" customWidth="1" min="12" max="12"/>
    <col width="50" customWidth="1" min="13" max="13"/>
  </cols>
  <sheetData>
    <row r="1">
      <c r="A1" s="1" t="inlineStr">
        <is>
          <t>Verwood Specialty Chemicals ERP cutover sequence</t>
        </is>
      </c>
    </row>
    <row r="2">
      <c r="A2" s="2" t="inlineStr">
        <is>
          <t>Blue cells are the three planning decisions per site: wave, team and start week. Every other column computes from the Reference sheet.</t>
        </is>
      </c>
    </row>
    <row r="4" ht="30" customHeight="1">
      <c r="A4" s="6" t="inlineStr">
        <is>
          <t>Wave</t>
        </is>
      </c>
      <c r="B4" s="6" t="inlineStr">
        <is>
          <t>Code</t>
        </is>
      </c>
      <c r="C4" s="6" t="inlineStr">
        <is>
          <t>Site</t>
        </is>
      </c>
      <c r="D4" s="6" t="inlineStr">
        <is>
          <t>Country</t>
        </is>
      </c>
      <c r="E4" s="6" t="inlineStr">
        <is>
          <t>Users</t>
        </is>
      </c>
      <c r="F4" s="6" t="inlineStr">
        <is>
          <t>Team</t>
        </is>
      </c>
      <c r="G4" s="6" t="inlineStr">
        <is>
          <t>Start week</t>
        </is>
      </c>
      <c r="H4" s="6" t="inlineStr">
        <is>
          <t>Week commencing</t>
        </is>
      </c>
      <c r="I4" s="6" t="inlineStr">
        <is>
          <t>Weeks</t>
        </is>
      </c>
      <c r="J4" s="6" t="inlineStr">
        <is>
          <t>End week</t>
        </is>
      </c>
      <c r="K4" s="6" t="inlineStr">
        <is>
          <t>Live week</t>
        </is>
      </c>
      <c r="L4" s="6" t="inlineStr">
        <is>
          <t>Live date</t>
        </is>
      </c>
      <c r="M4" s="6" t="inlineStr">
        <is>
          <t>Binding constraint</t>
        </is>
      </c>
    </row>
    <row r="5">
      <c r="A5" s="5" t="n">
        <v>1</v>
      </c>
      <c r="B5" s="5" t="inlineStr">
        <is>
          <t>BRD</t>
        </is>
      </c>
      <c r="C5" s="3">
        <f>INDEX(Reference!$B$11:$B$24,MATCH($B5,Reference!$A$11:$A$24,0))</f>
        <v/>
      </c>
      <c r="D5" s="3">
        <f>INDEX(Reference!$C$11:$C$24,MATCH($B5,Reference!$A$11:$A$24,0))</f>
        <v/>
      </c>
      <c r="E5" s="9">
        <f>INDEX(Reference!$D$11:$D$24,MATCH($B5,Reference!$A$11:$A$24,0))</f>
        <v/>
      </c>
      <c r="F5" s="5" t="n">
        <v>1</v>
      </c>
      <c r="G5" s="5" t="n">
        <v>5</v>
      </c>
      <c r="H5" s="10">
        <f>Reference!$B$4+($G5-1)*7</f>
        <v/>
      </c>
      <c r="I5" s="3">
        <f>INDEX(Reference!$G$11:$G$24,MATCH($B5,Reference!$A$11:$A$24,0))</f>
        <v/>
      </c>
      <c r="J5" s="3">
        <f>$G5+$I5-1</f>
        <v/>
      </c>
      <c r="K5" s="3">
        <f>$J5+1+IF(INDEX(Reference!$I$11:$I$24,MATCH($B5,Reference!$A$11:$A$24,0))="Yes",Reference!$B$6,0)</f>
        <v/>
      </c>
      <c r="L5" s="10">
        <f>Reference!$B$4+($K5-1)*7</f>
        <v/>
      </c>
      <c r="M5" s="5" t="inlineStr">
        <is>
          <t>Owns material master; 11 sites depend on it</t>
        </is>
      </c>
    </row>
    <row r="6">
      <c r="A6" s="5" t="n">
        <v>1</v>
      </c>
      <c r="B6" s="5" t="inlineStr">
        <is>
          <t>HAL</t>
        </is>
      </c>
      <c r="C6" s="3">
        <f>INDEX(Reference!$B$11:$B$24,MATCH($B6,Reference!$A$11:$A$24,0))</f>
        <v/>
      </c>
      <c r="D6" s="3">
        <f>INDEX(Reference!$C$11:$C$24,MATCH($B6,Reference!$A$11:$A$24,0))</f>
        <v/>
      </c>
      <c r="E6" s="9">
        <f>INDEX(Reference!$D$11:$D$24,MATCH($B6,Reference!$A$11:$A$24,0))</f>
        <v/>
      </c>
      <c r="F6" s="5" t="n">
        <v>2</v>
      </c>
      <c r="G6" s="5" t="n">
        <v>5</v>
      </c>
      <c r="H6" s="10">
        <f>Reference!$B$4+($G6-1)*7</f>
        <v/>
      </c>
      <c r="I6" s="3">
        <f>INDEX(Reference!$G$11:$G$24,MATCH($B6,Reference!$A$11:$A$24,0))</f>
        <v/>
      </c>
      <c r="J6" s="3">
        <f>$G6+$I6-1</f>
        <v/>
      </c>
      <c r="K6" s="3">
        <f>$J6+1+IF(INDEX(Reference!$I$11:$I$24,MATCH($B6,Reference!$A$11:$A$24,0))="Yes",Reference!$B$6,0)</f>
        <v/>
      </c>
      <c r="L6" s="10">
        <f>Reference!$B$4+($K6-1)*7</f>
        <v/>
      </c>
      <c r="M6" s="5" t="inlineStr">
        <is>
          <t>Owns customer master; 4 sites depend on it</t>
        </is>
      </c>
    </row>
    <row r="7">
      <c r="A7" s="5" t="n">
        <v>1</v>
      </c>
      <c r="B7" s="5" t="inlineStr">
        <is>
          <t>KIN</t>
        </is>
      </c>
      <c r="C7" s="3">
        <f>INDEX(Reference!$B$11:$B$24,MATCH($B7,Reference!$A$11:$A$24,0))</f>
        <v/>
      </c>
      <c r="D7" s="3">
        <f>INDEX(Reference!$C$11:$C$24,MATCH($B7,Reference!$A$11:$A$24,0))</f>
        <v/>
      </c>
      <c r="E7" s="9">
        <f>INDEX(Reference!$D$11:$D$24,MATCH($B7,Reference!$A$11:$A$24,0))</f>
        <v/>
      </c>
      <c r="F7" s="5" t="n">
        <v>3</v>
      </c>
      <c r="G7" s="5" t="n">
        <v>5</v>
      </c>
      <c r="H7" s="10">
        <f>Reference!$B$4+($G7-1)*7</f>
        <v/>
      </c>
      <c r="I7" s="3">
        <f>INDEX(Reference!$G$11:$G$24,MATCH($B7,Reference!$A$11:$A$24,0))</f>
        <v/>
      </c>
      <c r="J7" s="3">
        <f>$G7+$I7-1</f>
        <v/>
      </c>
      <c r="K7" s="3">
        <f>$J7+1+IF(INDEX(Reference!$I$11:$I$24,MATCH($B7,Reference!$A$11:$A$24,0))="Yes",Reference!$B$6,0)</f>
        <v/>
      </c>
      <c r="L7" s="10">
        <f>Reference!$B$4+($K7-1)*7</f>
        <v/>
      </c>
      <c r="M7" s="5" t="inlineStr">
        <is>
          <t>Owns vendor master; 3 sites depend on it</t>
        </is>
      </c>
    </row>
    <row r="8">
      <c r="A8" s="5" t="n">
        <v>2</v>
      </c>
      <c r="B8" s="5" t="inlineStr">
        <is>
          <t>CHA</t>
        </is>
      </c>
      <c r="C8" s="3">
        <f>INDEX(Reference!$B$11:$B$24,MATCH($B8,Reference!$A$11:$A$24,0))</f>
        <v/>
      </c>
      <c r="D8" s="3">
        <f>INDEX(Reference!$C$11:$C$24,MATCH($B8,Reference!$A$11:$A$24,0))</f>
        <v/>
      </c>
      <c r="E8" s="9">
        <f>INDEX(Reference!$D$11:$D$24,MATCH($B8,Reference!$A$11:$A$24,0))</f>
        <v/>
      </c>
      <c r="F8" s="5" t="n">
        <v>3</v>
      </c>
      <c r="G8" s="5" t="n">
        <v>10</v>
      </c>
      <c r="H8" s="10">
        <f>Reference!$B$4+($G8-1)*7</f>
        <v/>
      </c>
      <c r="I8" s="3">
        <f>INDEX(Reference!$G$11:$G$24,MATCH($B8,Reference!$A$11:$A$24,0))</f>
        <v/>
      </c>
      <c r="J8" s="3">
        <f>$G8+$I8-1</f>
        <v/>
      </c>
      <c r="K8" s="3">
        <f>$J8+1+IF(INDEX(Reference!$I$11:$I$24,MATCH($B8,Reference!$A$11:$A$24,0))="Yes",Reference!$B$6,0)</f>
        <v/>
      </c>
      <c r="L8" s="10">
        <f>Reference!$B$4+($K8-1)*7</f>
        <v/>
      </c>
      <c r="M8" s="5" t="inlineStr">
        <is>
          <t>Follows BRD, HAL</t>
        </is>
      </c>
    </row>
    <row r="9">
      <c r="A9" s="5" t="n">
        <v>2</v>
      </c>
      <c r="B9" s="5" t="inlineStr">
        <is>
          <t>COR</t>
        </is>
      </c>
      <c r="C9" s="3">
        <f>INDEX(Reference!$B$11:$B$24,MATCH($B9,Reference!$A$11:$A$24,0))</f>
        <v/>
      </c>
      <c r="D9" s="3">
        <f>INDEX(Reference!$C$11:$C$24,MATCH($B9,Reference!$A$11:$A$24,0))</f>
        <v/>
      </c>
      <c r="E9" s="9">
        <f>INDEX(Reference!$D$11:$D$24,MATCH($B9,Reference!$A$11:$A$24,0))</f>
        <v/>
      </c>
      <c r="F9" s="5" t="n">
        <v>2</v>
      </c>
      <c r="G9" s="5" t="n">
        <v>10</v>
      </c>
      <c r="H9" s="10">
        <f>Reference!$B$4+($G9-1)*7</f>
        <v/>
      </c>
      <c r="I9" s="3">
        <f>INDEX(Reference!$G$11:$G$24,MATCH($B9,Reference!$A$11:$A$24,0))</f>
        <v/>
      </c>
      <c r="J9" s="3">
        <f>$G9+$I9-1</f>
        <v/>
      </c>
      <c r="K9" s="3">
        <f>$J9+1+IF(INDEX(Reference!$I$11:$I$24,MATCH($B9,Reference!$A$11:$A$24,0))="Yes",Reference!$B$6,0)</f>
        <v/>
      </c>
      <c r="L9" s="10">
        <f>Reference!$B$4+($K9-1)*7</f>
        <v/>
      </c>
      <c r="M9" s="5" t="inlineStr">
        <is>
          <t>Validation runs after cutover, so it must start early despite being the smallest site</t>
        </is>
      </c>
    </row>
    <row r="10">
      <c r="A10" s="5" t="n">
        <v>3</v>
      </c>
      <c r="B10" s="5" t="inlineStr">
        <is>
          <t>ANT</t>
        </is>
      </c>
      <c r="C10" s="3">
        <f>INDEX(Reference!$B$11:$B$24,MATCH($B10,Reference!$A$11:$A$24,0))</f>
        <v/>
      </c>
      <c r="D10" s="3">
        <f>INDEX(Reference!$C$11:$C$24,MATCH($B10,Reference!$A$11:$A$24,0))</f>
        <v/>
      </c>
      <c r="E10" s="9">
        <f>INDEX(Reference!$D$11:$D$24,MATCH($B10,Reference!$A$11:$A$24,0))</f>
        <v/>
      </c>
      <c r="F10" s="5" t="n">
        <v>2</v>
      </c>
      <c r="G10" s="5" t="n">
        <v>21</v>
      </c>
      <c r="H10" s="10">
        <f>Reference!$B$4+($G10-1)*7</f>
        <v/>
      </c>
      <c r="I10" s="3">
        <f>INDEX(Reference!$G$11:$G$24,MATCH($B10,Reference!$A$11:$A$24,0))</f>
        <v/>
      </c>
      <c r="J10" s="3">
        <f>$G10+$I10-1</f>
        <v/>
      </c>
      <c r="K10" s="3">
        <f>$J10+1+IF(INDEX(Reference!$I$11:$I$24,MATCH($B10,Reference!$A$11:$A$24,0))="Yes",Reference!$B$6,0)</f>
        <v/>
      </c>
      <c r="L10" s="10">
        <f>Reference!$B$4+($K10-1)*7</f>
        <v/>
      </c>
      <c r="M10" s="5" t="inlineStr">
        <is>
          <t>Follows BRD, KIN</t>
        </is>
      </c>
    </row>
    <row r="11">
      <c r="A11" s="5" t="n">
        <v>3</v>
      </c>
      <c r="B11" s="5" t="inlineStr">
        <is>
          <t>ROT</t>
        </is>
      </c>
      <c r="C11" s="3">
        <f>INDEX(Reference!$B$11:$B$24,MATCH($B11,Reference!$A$11:$A$24,0))</f>
        <v/>
      </c>
      <c r="D11" s="3">
        <f>INDEX(Reference!$C$11:$C$24,MATCH($B11,Reference!$A$11:$A$24,0))</f>
        <v/>
      </c>
      <c r="E11" s="9">
        <f>INDEX(Reference!$D$11:$D$24,MATCH($B11,Reference!$A$11:$A$24,0))</f>
        <v/>
      </c>
      <c r="F11" s="5" t="n">
        <v>3</v>
      </c>
      <c r="G11" s="5" t="n">
        <v>21</v>
      </c>
      <c r="H11" s="10">
        <f>Reference!$B$4+($G11-1)*7</f>
        <v/>
      </c>
      <c r="I11" s="3">
        <f>INDEX(Reference!$G$11:$G$24,MATCH($B11,Reference!$A$11:$A$24,0))</f>
        <v/>
      </c>
      <c r="J11" s="3">
        <f>$G11+$I11-1</f>
        <v/>
      </c>
      <c r="K11" s="3">
        <f>$J11+1+IF(INDEX(Reference!$I$11:$I$24,MATCH($B11,Reference!$A$11:$A$24,0))="Yes",Reference!$B$6,0)</f>
        <v/>
      </c>
      <c r="L11" s="10">
        <f>Reference!$B$4+($K11-1)*7</f>
        <v/>
      </c>
      <c r="M11" s="5" t="inlineStr">
        <is>
          <t>Follows BRD, KIN</t>
        </is>
      </c>
    </row>
    <row r="12">
      <c r="A12" s="5" t="n">
        <v>4</v>
      </c>
      <c r="B12" s="5" t="inlineStr">
        <is>
          <t>SAR</t>
        </is>
      </c>
      <c r="C12" s="3">
        <f>INDEX(Reference!$B$11:$B$24,MATCH($B12,Reference!$A$11:$A$24,0))</f>
        <v/>
      </c>
      <c r="D12" s="3">
        <f>INDEX(Reference!$C$11:$C$24,MATCH($B12,Reference!$A$11:$A$24,0))</f>
        <v/>
      </c>
      <c r="E12" s="9">
        <f>INDEX(Reference!$D$11:$D$24,MATCH($B12,Reference!$A$11:$A$24,0))</f>
        <v/>
      </c>
      <c r="F12" s="5" t="n">
        <v>1</v>
      </c>
      <c r="G12" s="5" t="n">
        <v>24</v>
      </c>
      <c r="H12" s="10">
        <f>Reference!$B$4+($G12-1)*7</f>
        <v/>
      </c>
      <c r="I12" s="3">
        <f>INDEX(Reference!$G$11:$G$24,MATCH($B12,Reference!$A$11:$A$24,0))</f>
        <v/>
      </c>
      <c r="J12" s="3">
        <f>$G12+$I12-1</f>
        <v/>
      </c>
      <c r="K12" s="3">
        <f>$J12+1+IF(INDEX(Reference!$I$11:$I$24,MATCH($B12,Reference!$A$11:$A$24,0))="Yes",Reference!$B$6,0)</f>
        <v/>
      </c>
      <c r="L12" s="10">
        <f>Reference!$B$4+($K12-1)*7</f>
        <v/>
      </c>
      <c r="M12" s="5" t="inlineStr">
        <is>
          <t>Can only start in its annual shutdown window</t>
        </is>
      </c>
    </row>
    <row r="13">
      <c r="A13" s="5" t="n">
        <v>4</v>
      </c>
      <c r="B13" s="5" t="inlineStr">
        <is>
          <t>GDA</t>
        </is>
      </c>
      <c r="C13" s="3">
        <f>INDEX(Reference!$B$11:$B$24,MATCH($B13,Reference!$A$11:$A$24,0))</f>
        <v/>
      </c>
      <c r="D13" s="3">
        <f>INDEX(Reference!$C$11:$C$24,MATCH($B13,Reference!$A$11:$A$24,0))</f>
        <v/>
      </c>
      <c r="E13" s="9">
        <f>INDEX(Reference!$D$11:$D$24,MATCH($B13,Reference!$A$11:$A$24,0))</f>
        <v/>
      </c>
      <c r="F13" s="5" t="n">
        <v>3</v>
      </c>
      <c r="G13" s="5" t="n">
        <v>25</v>
      </c>
      <c r="H13" s="10">
        <f>Reference!$B$4+($G13-1)*7</f>
        <v/>
      </c>
      <c r="I13" s="3">
        <f>INDEX(Reference!$G$11:$G$24,MATCH($B13,Reference!$A$11:$A$24,0))</f>
        <v/>
      </c>
      <c r="J13" s="3">
        <f>$G13+$I13-1</f>
        <v/>
      </c>
      <c r="K13" s="3">
        <f>$J13+1+IF(INDEX(Reference!$I$11:$I$24,MATCH($B13,Reference!$A$11:$A$24,0))="Yes",Reference!$B$6,0)</f>
        <v/>
      </c>
      <c r="L13" s="10">
        <f>Reference!$B$4+($K13-1)*7</f>
        <v/>
      </c>
      <c r="M13" s="5" t="inlineStr">
        <is>
          <t>Follows BRD, HAL</t>
        </is>
      </c>
    </row>
    <row r="14">
      <c r="A14" s="5" t="n">
        <v>5</v>
      </c>
      <c r="B14" s="5" t="inlineStr">
        <is>
          <t>LYO</t>
        </is>
      </c>
      <c r="C14" s="3">
        <f>INDEX(Reference!$B$11:$B$24,MATCH($B14,Reference!$A$11:$A$24,0))</f>
        <v/>
      </c>
      <c r="D14" s="3">
        <f>INDEX(Reference!$C$11:$C$24,MATCH($B14,Reference!$A$11:$A$24,0))</f>
        <v/>
      </c>
      <c r="E14" s="9">
        <f>INDEX(Reference!$D$11:$D$24,MATCH($B14,Reference!$A$11:$A$24,0))</f>
        <v/>
      </c>
      <c r="F14" s="5" t="n">
        <v>2</v>
      </c>
      <c r="G14" s="5" t="n">
        <v>31</v>
      </c>
      <c r="H14" s="10">
        <f>Reference!$B$4+($G14-1)*7</f>
        <v/>
      </c>
      <c r="I14" s="3">
        <f>INDEX(Reference!$G$11:$G$24,MATCH($B14,Reference!$A$11:$A$24,0))</f>
        <v/>
      </c>
      <c r="J14" s="3">
        <f>$G14+$I14-1</f>
        <v/>
      </c>
      <c r="K14" s="3">
        <f>$J14+1+IF(INDEX(Reference!$I$11:$I$24,MATCH($B14,Reference!$A$11:$A$24,0))="Yes",Reference!$B$6,0)</f>
        <v/>
      </c>
      <c r="L14" s="10">
        <f>Reference!$B$4+($K14-1)*7</f>
        <v/>
      </c>
      <c r="M14" s="5" t="inlineStr">
        <is>
          <t>Follows BRD</t>
        </is>
      </c>
    </row>
    <row r="15">
      <c r="A15" s="5" t="n">
        <v>5</v>
      </c>
      <c r="B15" s="5" t="inlineStr">
        <is>
          <t>TUR</t>
        </is>
      </c>
      <c r="C15" s="3">
        <f>INDEX(Reference!$B$11:$B$24,MATCH($B15,Reference!$A$11:$A$24,0))</f>
        <v/>
      </c>
      <c r="D15" s="3">
        <f>INDEX(Reference!$C$11:$C$24,MATCH($B15,Reference!$A$11:$A$24,0))</f>
        <v/>
      </c>
      <c r="E15" s="9">
        <f>INDEX(Reference!$D$11:$D$24,MATCH($B15,Reference!$A$11:$A$24,0))</f>
        <v/>
      </c>
      <c r="F15" s="5" t="n">
        <v>3</v>
      </c>
      <c r="G15" s="5" t="n">
        <v>31</v>
      </c>
      <c r="H15" s="10">
        <f>Reference!$B$4+($G15-1)*7</f>
        <v/>
      </c>
      <c r="I15" s="3">
        <f>INDEX(Reference!$G$11:$G$24,MATCH($B15,Reference!$A$11:$A$24,0))</f>
        <v/>
      </c>
      <c r="J15" s="3">
        <f>$G15+$I15-1</f>
        <v/>
      </c>
      <c r="K15" s="3">
        <f>$J15+1+IF(INDEX(Reference!$I$11:$I$24,MATCH($B15,Reference!$A$11:$A$24,0))="Yes",Reference!$B$6,0)</f>
        <v/>
      </c>
      <c r="L15" s="10">
        <f>Reference!$B$4+($K15-1)*7</f>
        <v/>
      </c>
      <c r="M15" s="5" t="inlineStr">
        <is>
          <t>Follows BRD</t>
        </is>
      </c>
    </row>
    <row r="16">
      <c r="A16" s="5" t="n">
        <v>6</v>
      </c>
      <c r="B16" s="5" t="inlineStr">
        <is>
          <t>MOB</t>
        </is>
      </c>
      <c r="C16" s="3">
        <f>INDEX(Reference!$B$11:$B$24,MATCH($B16,Reference!$A$11:$A$24,0))</f>
        <v/>
      </c>
      <c r="D16" s="3">
        <f>INDEX(Reference!$C$11:$C$24,MATCH($B16,Reference!$A$11:$A$24,0))</f>
        <v/>
      </c>
      <c r="E16" s="9">
        <f>INDEX(Reference!$D$11:$D$24,MATCH($B16,Reference!$A$11:$A$24,0))</f>
        <v/>
      </c>
      <c r="F16" s="5" t="n">
        <v>1</v>
      </c>
      <c r="G16" s="5" t="n">
        <v>33</v>
      </c>
      <c r="H16" s="10">
        <f>Reference!$B$4+($G16-1)*7</f>
        <v/>
      </c>
      <c r="I16" s="3">
        <f>INDEX(Reference!$G$11:$G$24,MATCH($B16,Reference!$A$11:$A$24,0))</f>
        <v/>
      </c>
      <c r="J16" s="3">
        <f>$G16+$I16-1</f>
        <v/>
      </c>
      <c r="K16" s="3">
        <f>$J16+1+IF(INDEX(Reference!$I$11:$I$24,MATCH($B16,Reference!$A$11:$A$24,0))="Yes",Reference!$B$6,0)</f>
        <v/>
      </c>
      <c r="L16" s="10">
        <f>Reference!$B$4+($K16-1)*7</f>
        <v/>
      </c>
      <c r="M16" s="5" t="inlineStr">
        <is>
          <t>Can only start in its annual shutdown window</t>
        </is>
      </c>
    </row>
    <row r="17">
      <c r="A17" s="5" t="n">
        <v>7</v>
      </c>
      <c r="B17" s="5" t="inlineStr">
        <is>
          <t>PEN</t>
        </is>
      </c>
      <c r="C17" s="3">
        <f>INDEX(Reference!$B$11:$B$24,MATCH($B17,Reference!$A$11:$A$24,0))</f>
        <v/>
      </c>
      <c r="D17" s="3">
        <f>INDEX(Reference!$C$11:$C$24,MATCH($B17,Reference!$A$11:$A$24,0))</f>
        <v/>
      </c>
      <c r="E17" s="9">
        <f>INDEX(Reference!$D$11:$D$24,MATCH($B17,Reference!$A$11:$A$24,0))</f>
        <v/>
      </c>
      <c r="F17" s="5" t="n">
        <v>2</v>
      </c>
      <c r="G17" s="5" t="n">
        <v>35</v>
      </c>
      <c r="H17" s="10">
        <f>Reference!$B$4+($G17-1)*7</f>
        <v/>
      </c>
      <c r="I17" s="3">
        <f>INDEX(Reference!$G$11:$G$24,MATCH($B17,Reference!$A$11:$A$24,0))</f>
        <v/>
      </c>
      <c r="J17" s="3">
        <f>$G17+$I17-1</f>
        <v/>
      </c>
      <c r="K17" s="3">
        <f>$J17+1+IF(INDEX(Reference!$I$11:$I$24,MATCH($B17,Reference!$A$11:$A$24,0))="Yes",Reference!$B$6,0)</f>
        <v/>
      </c>
      <c r="L17" s="10">
        <f>Reference!$B$4+($K17-1)*7</f>
        <v/>
      </c>
      <c r="M17" s="5" t="inlineStr">
        <is>
          <t>Follows BRD</t>
        </is>
      </c>
    </row>
    <row r="18">
      <c r="A18" s="5" t="n">
        <v>7</v>
      </c>
      <c r="B18" s="5" t="inlineStr">
        <is>
          <t>VAL</t>
        </is>
      </c>
      <c r="C18" s="3">
        <f>INDEX(Reference!$B$11:$B$24,MATCH($B18,Reference!$A$11:$A$24,0))</f>
        <v/>
      </c>
      <c r="D18" s="3">
        <f>INDEX(Reference!$C$11:$C$24,MATCH($B18,Reference!$A$11:$A$24,0))</f>
        <v/>
      </c>
      <c r="E18" s="9">
        <f>INDEX(Reference!$D$11:$D$24,MATCH($B18,Reference!$A$11:$A$24,0))</f>
        <v/>
      </c>
      <c r="F18" s="5" t="n">
        <v>3</v>
      </c>
      <c r="G18" s="5" t="n">
        <v>35</v>
      </c>
      <c r="H18" s="10">
        <f>Reference!$B$4+($G18-1)*7</f>
        <v/>
      </c>
      <c r="I18" s="3">
        <f>INDEX(Reference!$G$11:$G$24,MATCH($B18,Reference!$A$11:$A$24,0))</f>
        <v/>
      </c>
      <c r="J18" s="3">
        <f>$G18+$I18-1</f>
        <v/>
      </c>
      <c r="K18" s="3">
        <f>$J18+1+IF(INDEX(Reference!$I$11:$I$24,MATCH($B18,Reference!$A$11:$A$24,0))="Yes",Reference!$B$6,0)</f>
        <v/>
      </c>
      <c r="L18" s="10">
        <f>Reference!$B$4+($K18-1)*7</f>
        <v/>
      </c>
      <c r="M18" s="5" t="inlineStr">
        <is>
          <t>Follows BRD</t>
        </is>
      </c>
    </row>
    <row r="19">
      <c r="A19" s="11" t="inlineStr"/>
      <c r="B19" s="11" t="inlineStr">
        <is>
          <t>TOTAL</t>
        </is>
      </c>
      <c r="C19" s="11" t="inlineStr"/>
      <c r="D19" s="11" t="inlineStr"/>
      <c r="E19" s="12">
        <f>SUM(E5:E18)</f>
        <v/>
      </c>
      <c r="F19" s="11" t="inlineStr"/>
      <c r="G19" s="11" t="inlineStr"/>
      <c r="H19" s="11" t="inlineStr"/>
      <c r="I19" s="11">
        <f>SUM(I5:I18)</f>
        <v/>
      </c>
      <c r="J19" s="11" t="inlineStr"/>
      <c r="K19" s="11">
        <f>MAX(K5:K18)</f>
        <v/>
      </c>
      <c r="L19" s="13">
        <f>Reference!$B$4+(K19-1)*7</f>
        <v/>
      </c>
      <c r="M19" s="11" t="inlineStr">
        <is>
          <t>Last go-live across the programme</t>
        </is>
      </c>
    </row>
    <row r="20">
      <c r="A20" s="3" t="inlineStr"/>
      <c r="B20" s="3" t="inlineStr">
        <is>
          <t>Support deadline</t>
        </is>
      </c>
      <c r="C20" s="3" t="inlineStr"/>
      <c r="D20" s="3" t="inlineStr"/>
      <c r="E20" s="3">
        <f>Reference!$B$8</f>
        <v/>
      </c>
      <c r="F20" s="3" t="inlineStr"/>
      <c r="G20" s="3" t="inlineStr"/>
      <c r="H20" s="3" t="inlineStr"/>
      <c r="I20" s="3" t="inlineStr"/>
      <c r="J20" s="3" t="inlineStr"/>
      <c r="K20" s="3">
        <f>Reference!$B$8</f>
        <v/>
      </c>
      <c r="L20" s="10">
        <f>Reference!$B$7</f>
        <v/>
      </c>
      <c r="M20" s="3" t="inlineStr">
        <is>
          <t>Programme week in which legacy support ends</t>
        </is>
      </c>
    </row>
    <row r="21">
      <c r="A21" s="14" t="inlineStr"/>
      <c r="B21" s="14" t="inlineStr">
        <is>
          <t>Float to the deadline</t>
        </is>
      </c>
      <c r="C21" s="14" t="inlineStr"/>
      <c r="D21" s="14" t="inlineStr"/>
      <c r="E21" s="14">
        <f>Reference!$B$8-K19</f>
        <v/>
      </c>
      <c r="F21" s="14" t="inlineStr"/>
      <c r="G21" s="14" t="inlineStr"/>
      <c r="H21" s="14" t="inlineStr"/>
      <c r="I21" s="14" t="inlineStr"/>
      <c r="J21" s="14" t="inlineStr"/>
      <c r="K21" s="14" t="inlineStr"/>
      <c r="L21" s="14" t="inlineStr"/>
      <c r="M21" s="14" t="inlineStr">
        <is>
          <t>Weeks between the last go-live and the end of support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26"/>
  <sheetViews>
    <sheetView showGridLines="0" workbookViewId="0">
      <selection activeCell="A1" sqref="A1"/>
    </sheetView>
  </sheetViews>
  <sheetFormatPr baseColWidth="8" defaultRowHeight="15"/>
  <cols>
    <col width="8"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 width="5" customWidth="1" min="35" max="35"/>
    <col width="5" customWidth="1" min="36" max="36"/>
    <col width="5" customWidth="1" min="37" max="37"/>
    <col width="5" customWidth="1" min="38" max="38"/>
    <col width="5" customWidth="1" min="39" max="39"/>
    <col width="5" customWidth="1" min="40" max="40"/>
    <col width="5" customWidth="1" min="41" max="41"/>
    <col width="5" customWidth="1" min="42" max="42"/>
    <col width="5" customWidth="1" min="43" max="43"/>
    <col width="5" customWidth="1" min="44" max="44"/>
  </cols>
  <sheetData>
    <row r="1">
      <c r="A1" s="1" t="inlineStr">
        <is>
          <t>Team loading by programme week</t>
        </is>
      </c>
    </row>
    <row r="2">
      <c r="A2" s="2" t="inlineStr">
        <is>
          <t>Every cell computes from the Plan sheet. Row 3 flags the financial blackout weeks.</t>
        </is>
      </c>
    </row>
    <row r="3">
      <c r="A3" s="15" t="inlineStr">
        <is>
          <t>Blackout</t>
        </is>
      </c>
      <c r="B3" s="16">
        <f>IF(COUNTIF(Reference!$B$26:$L$26,B$4)&gt;0,1,0)</f>
        <v/>
      </c>
      <c r="C3" s="16">
        <f>IF(COUNTIF(Reference!$B$26:$L$26,C$4)&gt;0,1,0)</f>
        <v/>
      </c>
      <c r="D3" s="16">
        <f>IF(COUNTIF(Reference!$B$26:$L$26,D$4)&gt;0,1,0)</f>
        <v/>
      </c>
      <c r="E3" s="16">
        <f>IF(COUNTIF(Reference!$B$26:$L$26,E$4)&gt;0,1,0)</f>
        <v/>
      </c>
      <c r="F3" s="16">
        <f>IF(COUNTIF(Reference!$B$26:$L$26,F$4)&gt;0,1,0)</f>
        <v/>
      </c>
      <c r="G3" s="16">
        <f>IF(COUNTIF(Reference!$B$26:$L$26,G$4)&gt;0,1,0)</f>
        <v/>
      </c>
      <c r="H3" s="16">
        <f>IF(COUNTIF(Reference!$B$26:$L$26,H$4)&gt;0,1,0)</f>
        <v/>
      </c>
      <c r="I3" s="16">
        <f>IF(COUNTIF(Reference!$B$26:$L$26,I$4)&gt;0,1,0)</f>
        <v/>
      </c>
      <c r="J3" s="16">
        <f>IF(COUNTIF(Reference!$B$26:$L$26,J$4)&gt;0,1,0)</f>
        <v/>
      </c>
      <c r="K3" s="16">
        <f>IF(COUNTIF(Reference!$B$26:$L$26,K$4)&gt;0,1,0)</f>
        <v/>
      </c>
      <c r="L3" s="16">
        <f>IF(COUNTIF(Reference!$B$26:$L$26,L$4)&gt;0,1,0)</f>
        <v/>
      </c>
      <c r="M3" s="16">
        <f>IF(COUNTIF(Reference!$B$26:$L$26,M$4)&gt;0,1,0)</f>
        <v/>
      </c>
      <c r="N3" s="16">
        <f>IF(COUNTIF(Reference!$B$26:$L$26,N$4)&gt;0,1,0)</f>
        <v/>
      </c>
      <c r="O3" s="16">
        <f>IF(COUNTIF(Reference!$B$26:$L$26,O$4)&gt;0,1,0)</f>
        <v/>
      </c>
      <c r="P3" s="16">
        <f>IF(COUNTIF(Reference!$B$26:$L$26,P$4)&gt;0,1,0)</f>
        <v/>
      </c>
      <c r="Q3" s="16">
        <f>IF(COUNTIF(Reference!$B$26:$L$26,Q$4)&gt;0,1,0)</f>
        <v/>
      </c>
      <c r="R3" s="16">
        <f>IF(COUNTIF(Reference!$B$26:$L$26,R$4)&gt;0,1,0)</f>
        <v/>
      </c>
      <c r="S3" s="16">
        <f>IF(COUNTIF(Reference!$B$26:$L$26,S$4)&gt;0,1,0)</f>
        <v/>
      </c>
      <c r="T3" s="16">
        <f>IF(COUNTIF(Reference!$B$26:$L$26,T$4)&gt;0,1,0)</f>
        <v/>
      </c>
      <c r="U3" s="16">
        <f>IF(COUNTIF(Reference!$B$26:$L$26,U$4)&gt;0,1,0)</f>
        <v/>
      </c>
      <c r="V3" s="16">
        <f>IF(COUNTIF(Reference!$B$26:$L$26,V$4)&gt;0,1,0)</f>
        <v/>
      </c>
      <c r="W3" s="16">
        <f>IF(COUNTIF(Reference!$B$26:$L$26,W$4)&gt;0,1,0)</f>
        <v/>
      </c>
      <c r="X3" s="16">
        <f>IF(COUNTIF(Reference!$B$26:$L$26,X$4)&gt;0,1,0)</f>
        <v/>
      </c>
      <c r="Y3" s="16">
        <f>IF(COUNTIF(Reference!$B$26:$L$26,Y$4)&gt;0,1,0)</f>
        <v/>
      </c>
      <c r="Z3" s="16">
        <f>IF(COUNTIF(Reference!$B$26:$L$26,Z$4)&gt;0,1,0)</f>
        <v/>
      </c>
      <c r="AA3" s="16">
        <f>IF(COUNTIF(Reference!$B$26:$L$26,AA$4)&gt;0,1,0)</f>
        <v/>
      </c>
      <c r="AB3" s="16">
        <f>IF(COUNTIF(Reference!$B$26:$L$26,AB$4)&gt;0,1,0)</f>
        <v/>
      </c>
      <c r="AC3" s="16">
        <f>IF(COUNTIF(Reference!$B$26:$L$26,AC$4)&gt;0,1,0)</f>
        <v/>
      </c>
      <c r="AD3" s="16">
        <f>IF(COUNTIF(Reference!$B$26:$L$26,AD$4)&gt;0,1,0)</f>
        <v/>
      </c>
      <c r="AE3" s="16">
        <f>IF(COUNTIF(Reference!$B$26:$L$26,AE$4)&gt;0,1,0)</f>
        <v/>
      </c>
      <c r="AF3" s="16">
        <f>IF(COUNTIF(Reference!$B$26:$L$26,AF$4)&gt;0,1,0)</f>
        <v/>
      </c>
      <c r="AG3" s="16">
        <f>IF(COUNTIF(Reference!$B$26:$L$26,AG$4)&gt;0,1,0)</f>
        <v/>
      </c>
      <c r="AH3" s="16">
        <f>IF(COUNTIF(Reference!$B$26:$L$26,AH$4)&gt;0,1,0)</f>
        <v/>
      </c>
      <c r="AI3" s="16">
        <f>IF(COUNTIF(Reference!$B$26:$L$26,AI$4)&gt;0,1,0)</f>
        <v/>
      </c>
      <c r="AJ3" s="16">
        <f>IF(COUNTIF(Reference!$B$26:$L$26,AJ$4)&gt;0,1,0)</f>
        <v/>
      </c>
      <c r="AK3" s="16">
        <f>IF(COUNTIF(Reference!$B$26:$L$26,AK$4)&gt;0,1,0)</f>
        <v/>
      </c>
      <c r="AL3" s="16">
        <f>IF(COUNTIF(Reference!$B$26:$L$26,AL$4)&gt;0,1,0)</f>
        <v/>
      </c>
      <c r="AM3" s="16">
        <f>IF(COUNTIF(Reference!$B$26:$L$26,AM$4)&gt;0,1,0)</f>
        <v/>
      </c>
      <c r="AN3" s="16">
        <f>IF(COUNTIF(Reference!$B$26:$L$26,AN$4)&gt;0,1,0)</f>
        <v/>
      </c>
      <c r="AO3" s="16">
        <f>IF(COUNTIF(Reference!$B$26:$L$26,AO$4)&gt;0,1,0)</f>
        <v/>
      </c>
      <c r="AP3" s="16">
        <f>IF(COUNTIF(Reference!$B$26:$L$26,AP$4)&gt;0,1,0)</f>
        <v/>
      </c>
      <c r="AQ3" s="16">
        <f>IF(COUNTIF(Reference!$B$26:$L$26,AQ$4)&gt;0,1,0)</f>
        <v/>
      </c>
      <c r="AR3" s="16">
        <f>IF(COUNTIF(Reference!$B$26:$L$26,AR$4)&gt;0,1,0)</f>
        <v/>
      </c>
    </row>
    <row r="4" ht="30" customHeight="1">
      <c r="A4" s="6" t="inlineStr">
        <is>
          <t>Code</t>
        </is>
      </c>
      <c r="B4" s="17" t="n">
        <v>1</v>
      </c>
      <c r="C4" s="17">
        <f>B4+1</f>
        <v/>
      </c>
      <c r="D4" s="17">
        <f>C4+1</f>
        <v/>
      </c>
      <c r="E4" s="17">
        <f>D4+1</f>
        <v/>
      </c>
      <c r="F4" s="17">
        <f>E4+1</f>
        <v/>
      </c>
      <c r="G4" s="17">
        <f>F4+1</f>
        <v/>
      </c>
      <c r="H4" s="17">
        <f>G4+1</f>
        <v/>
      </c>
      <c r="I4" s="17">
        <f>H4+1</f>
        <v/>
      </c>
      <c r="J4" s="17">
        <f>I4+1</f>
        <v/>
      </c>
      <c r="K4" s="17">
        <f>J4+1</f>
        <v/>
      </c>
      <c r="L4" s="17">
        <f>K4+1</f>
        <v/>
      </c>
      <c r="M4" s="17">
        <f>L4+1</f>
        <v/>
      </c>
      <c r="N4" s="17">
        <f>M4+1</f>
        <v/>
      </c>
      <c r="O4" s="17">
        <f>N4+1</f>
        <v/>
      </c>
      <c r="P4" s="17">
        <f>O4+1</f>
        <v/>
      </c>
      <c r="Q4" s="17">
        <f>P4+1</f>
        <v/>
      </c>
      <c r="R4" s="17">
        <f>Q4+1</f>
        <v/>
      </c>
      <c r="S4" s="17">
        <f>R4+1</f>
        <v/>
      </c>
      <c r="T4" s="17">
        <f>S4+1</f>
        <v/>
      </c>
      <c r="U4" s="17">
        <f>T4+1</f>
        <v/>
      </c>
      <c r="V4" s="17">
        <f>U4+1</f>
        <v/>
      </c>
      <c r="W4" s="17">
        <f>V4+1</f>
        <v/>
      </c>
      <c r="X4" s="17">
        <f>W4+1</f>
        <v/>
      </c>
      <c r="Y4" s="17">
        <f>X4+1</f>
        <v/>
      </c>
      <c r="Z4" s="17">
        <f>Y4+1</f>
        <v/>
      </c>
      <c r="AA4" s="17">
        <f>Z4+1</f>
        <v/>
      </c>
      <c r="AB4" s="17">
        <f>AA4+1</f>
        <v/>
      </c>
      <c r="AC4" s="17">
        <f>AB4+1</f>
        <v/>
      </c>
      <c r="AD4" s="17">
        <f>AC4+1</f>
        <v/>
      </c>
      <c r="AE4" s="17">
        <f>AD4+1</f>
        <v/>
      </c>
      <c r="AF4" s="17">
        <f>AE4+1</f>
        <v/>
      </c>
      <c r="AG4" s="17">
        <f>AF4+1</f>
        <v/>
      </c>
      <c r="AH4" s="17">
        <f>AG4+1</f>
        <v/>
      </c>
      <c r="AI4" s="17">
        <f>AH4+1</f>
        <v/>
      </c>
      <c r="AJ4" s="17">
        <f>AI4+1</f>
        <v/>
      </c>
      <c r="AK4" s="17">
        <f>AJ4+1</f>
        <v/>
      </c>
      <c r="AL4" s="17">
        <f>AK4+1</f>
        <v/>
      </c>
      <c r="AM4" s="17">
        <f>AL4+1</f>
        <v/>
      </c>
      <c r="AN4" s="17">
        <f>AM4+1</f>
        <v/>
      </c>
      <c r="AO4" s="17">
        <f>AN4+1</f>
        <v/>
      </c>
      <c r="AP4" s="17">
        <f>AO4+1</f>
        <v/>
      </c>
      <c r="AQ4" s="17">
        <f>AP4+1</f>
        <v/>
      </c>
      <c r="AR4" s="17">
        <f>AQ4+1</f>
        <v/>
      </c>
    </row>
    <row r="5">
      <c r="A5" s="3">
        <f>Plan!$B5</f>
        <v/>
      </c>
      <c r="B5" s="3">
        <f>IF(AND(Plan!$G5&lt;=B$4,Plan!$J5&gt;=B$4),Plan!$B5,"")</f>
        <v/>
      </c>
      <c r="C5" s="3">
        <f>IF(AND(Plan!$G5&lt;=C$4,Plan!$J5&gt;=C$4),Plan!$B5,"")</f>
        <v/>
      </c>
      <c r="D5" s="3">
        <f>IF(AND(Plan!$G5&lt;=D$4,Plan!$J5&gt;=D$4),Plan!$B5,"")</f>
        <v/>
      </c>
      <c r="E5" s="3">
        <f>IF(AND(Plan!$G5&lt;=E$4,Plan!$J5&gt;=E$4),Plan!$B5,"")</f>
        <v/>
      </c>
      <c r="F5" s="3">
        <f>IF(AND(Plan!$G5&lt;=F$4,Plan!$J5&gt;=F$4),Plan!$B5,"")</f>
        <v/>
      </c>
      <c r="G5" s="3">
        <f>IF(AND(Plan!$G5&lt;=G$4,Plan!$J5&gt;=G$4),Plan!$B5,"")</f>
        <v/>
      </c>
      <c r="H5" s="3">
        <f>IF(AND(Plan!$G5&lt;=H$4,Plan!$J5&gt;=H$4),Plan!$B5,"")</f>
        <v/>
      </c>
      <c r="I5" s="3">
        <f>IF(AND(Plan!$G5&lt;=I$4,Plan!$J5&gt;=I$4),Plan!$B5,"")</f>
        <v/>
      </c>
      <c r="J5" s="3">
        <f>IF(AND(Plan!$G5&lt;=J$4,Plan!$J5&gt;=J$4),Plan!$B5,"")</f>
        <v/>
      </c>
      <c r="K5" s="3">
        <f>IF(AND(Plan!$G5&lt;=K$4,Plan!$J5&gt;=K$4),Plan!$B5,"")</f>
        <v/>
      </c>
      <c r="L5" s="3">
        <f>IF(AND(Plan!$G5&lt;=L$4,Plan!$J5&gt;=L$4),Plan!$B5,"")</f>
        <v/>
      </c>
      <c r="M5" s="3">
        <f>IF(AND(Plan!$G5&lt;=M$4,Plan!$J5&gt;=M$4),Plan!$B5,"")</f>
        <v/>
      </c>
      <c r="N5" s="3">
        <f>IF(AND(Plan!$G5&lt;=N$4,Plan!$J5&gt;=N$4),Plan!$B5,"")</f>
        <v/>
      </c>
      <c r="O5" s="3">
        <f>IF(AND(Plan!$G5&lt;=O$4,Plan!$J5&gt;=O$4),Plan!$B5,"")</f>
        <v/>
      </c>
      <c r="P5" s="3">
        <f>IF(AND(Plan!$G5&lt;=P$4,Plan!$J5&gt;=P$4),Plan!$B5,"")</f>
        <v/>
      </c>
      <c r="Q5" s="3">
        <f>IF(AND(Plan!$G5&lt;=Q$4,Plan!$J5&gt;=Q$4),Plan!$B5,"")</f>
        <v/>
      </c>
      <c r="R5" s="3">
        <f>IF(AND(Plan!$G5&lt;=R$4,Plan!$J5&gt;=R$4),Plan!$B5,"")</f>
        <v/>
      </c>
      <c r="S5" s="3">
        <f>IF(AND(Plan!$G5&lt;=S$4,Plan!$J5&gt;=S$4),Plan!$B5,"")</f>
        <v/>
      </c>
      <c r="T5" s="3">
        <f>IF(AND(Plan!$G5&lt;=T$4,Plan!$J5&gt;=T$4),Plan!$B5,"")</f>
        <v/>
      </c>
      <c r="U5" s="3">
        <f>IF(AND(Plan!$G5&lt;=U$4,Plan!$J5&gt;=U$4),Plan!$B5,"")</f>
        <v/>
      </c>
      <c r="V5" s="3">
        <f>IF(AND(Plan!$G5&lt;=V$4,Plan!$J5&gt;=V$4),Plan!$B5,"")</f>
        <v/>
      </c>
      <c r="W5" s="3">
        <f>IF(AND(Plan!$G5&lt;=W$4,Plan!$J5&gt;=W$4),Plan!$B5,"")</f>
        <v/>
      </c>
      <c r="X5" s="3">
        <f>IF(AND(Plan!$G5&lt;=X$4,Plan!$J5&gt;=X$4),Plan!$B5,"")</f>
        <v/>
      </c>
      <c r="Y5" s="3">
        <f>IF(AND(Plan!$G5&lt;=Y$4,Plan!$J5&gt;=Y$4),Plan!$B5,"")</f>
        <v/>
      </c>
      <c r="Z5" s="3">
        <f>IF(AND(Plan!$G5&lt;=Z$4,Plan!$J5&gt;=Z$4),Plan!$B5,"")</f>
        <v/>
      </c>
      <c r="AA5" s="3">
        <f>IF(AND(Plan!$G5&lt;=AA$4,Plan!$J5&gt;=AA$4),Plan!$B5,"")</f>
        <v/>
      </c>
      <c r="AB5" s="3">
        <f>IF(AND(Plan!$G5&lt;=AB$4,Plan!$J5&gt;=AB$4),Plan!$B5,"")</f>
        <v/>
      </c>
      <c r="AC5" s="3">
        <f>IF(AND(Plan!$G5&lt;=AC$4,Plan!$J5&gt;=AC$4),Plan!$B5,"")</f>
        <v/>
      </c>
      <c r="AD5" s="3">
        <f>IF(AND(Plan!$G5&lt;=AD$4,Plan!$J5&gt;=AD$4),Plan!$B5,"")</f>
        <v/>
      </c>
      <c r="AE5" s="3">
        <f>IF(AND(Plan!$G5&lt;=AE$4,Plan!$J5&gt;=AE$4),Plan!$B5,"")</f>
        <v/>
      </c>
      <c r="AF5" s="3">
        <f>IF(AND(Plan!$G5&lt;=AF$4,Plan!$J5&gt;=AF$4),Plan!$B5,"")</f>
        <v/>
      </c>
      <c r="AG5" s="3">
        <f>IF(AND(Plan!$G5&lt;=AG$4,Plan!$J5&gt;=AG$4),Plan!$B5,"")</f>
        <v/>
      </c>
      <c r="AH5" s="3">
        <f>IF(AND(Plan!$G5&lt;=AH$4,Plan!$J5&gt;=AH$4),Plan!$B5,"")</f>
        <v/>
      </c>
      <c r="AI5" s="3">
        <f>IF(AND(Plan!$G5&lt;=AI$4,Plan!$J5&gt;=AI$4),Plan!$B5,"")</f>
        <v/>
      </c>
      <c r="AJ5" s="3">
        <f>IF(AND(Plan!$G5&lt;=AJ$4,Plan!$J5&gt;=AJ$4),Plan!$B5,"")</f>
        <v/>
      </c>
      <c r="AK5" s="3">
        <f>IF(AND(Plan!$G5&lt;=AK$4,Plan!$J5&gt;=AK$4),Plan!$B5,"")</f>
        <v/>
      </c>
      <c r="AL5" s="3">
        <f>IF(AND(Plan!$G5&lt;=AL$4,Plan!$J5&gt;=AL$4),Plan!$B5,"")</f>
        <v/>
      </c>
      <c r="AM5" s="3">
        <f>IF(AND(Plan!$G5&lt;=AM$4,Plan!$J5&gt;=AM$4),Plan!$B5,"")</f>
        <v/>
      </c>
      <c r="AN5" s="3">
        <f>IF(AND(Plan!$G5&lt;=AN$4,Plan!$J5&gt;=AN$4),Plan!$B5,"")</f>
        <v/>
      </c>
      <c r="AO5" s="3">
        <f>IF(AND(Plan!$G5&lt;=AO$4,Plan!$J5&gt;=AO$4),Plan!$B5,"")</f>
        <v/>
      </c>
      <c r="AP5" s="3">
        <f>IF(AND(Plan!$G5&lt;=AP$4,Plan!$J5&gt;=AP$4),Plan!$B5,"")</f>
        <v/>
      </c>
      <c r="AQ5" s="3">
        <f>IF(AND(Plan!$G5&lt;=AQ$4,Plan!$J5&gt;=AQ$4),Plan!$B5,"")</f>
        <v/>
      </c>
      <c r="AR5" s="3">
        <f>IF(AND(Plan!$G5&lt;=AR$4,Plan!$J5&gt;=AR$4),Plan!$B5,"")</f>
        <v/>
      </c>
    </row>
    <row r="6">
      <c r="A6" s="3">
        <f>Plan!$B6</f>
        <v/>
      </c>
      <c r="B6" s="3">
        <f>IF(AND(Plan!$G6&lt;=B$4,Plan!$J6&gt;=B$4),Plan!$B6,"")</f>
        <v/>
      </c>
      <c r="C6" s="3">
        <f>IF(AND(Plan!$G6&lt;=C$4,Plan!$J6&gt;=C$4),Plan!$B6,"")</f>
        <v/>
      </c>
      <c r="D6" s="3">
        <f>IF(AND(Plan!$G6&lt;=D$4,Plan!$J6&gt;=D$4),Plan!$B6,"")</f>
        <v/>
      </c>
      <c r="E6" s="3">
        <f>IF(AND(Plan!$G6&lt;=E$4,Plan!$J6&gt;=E$4),Plan!$B6,"")</f>
        <v/>
      </c>
      <c r="F6" s="3">
        <f>IF(AND(Plan!$G6&lt;=F$4,Plan!$J6&gt;=F$4),Plan!$B6,"")</f>
        <v/>
      </c>
      <c r="G6" s="3">
        <f>IF(AND(Plan!$G6&lt;=G$4,Plan!$J6&gt;=G$4),Plan!$B6,"")</f>
        <v/>
      </c>
      <c r="H6" s="3">
        <f>IF(AND(Plan!$G6&lt;=H$4,Plan!$J6&gt;=H$4),Plan!$B6,"")</f>
        <v/>
      </c>
      <c r="I6" s="3">
        <f>IF(AND(Plan!$G6&lt;=I$4,Plan!$J6&gt;=I$4),Plan!$B6,"")</f>
        <v/>
      </c>
      <c r="J6" s="3">
        <f>IF(AND(Plan!$G6&lt;=J$4,Plan!$J6&gt;=J$4),Plan!$B6,"")</f>
        <v/>
      </c>
      <c r="K6" s="3">
        <f>IF(AND(Plan!$G6&lt;=K$4,Plan!$J6&gt;=K$4),Plan!$B6,"")</f>
        <v/>
      </c>
      <c r="L6" s="3">
        <f>IF(AND(Plan!$G6&lt;=L$4,Plan!$J6&gt;=L$4),Plan!$B6,"")</f>
        <v/>
      </c>
      <c r="M6" s="3">
        <f>IF(AND(Plan!$G6&lt;=M$4,Plan!$J6&gt;=M$4),Plan!$B6,"")</f>
        <v/>
      </c>
      <c r="N6" s="3">
        <f>IF(AND(Plan!$G6&lt;=N$4,Plan!$J6&gt;=N$4),Plan!$B6,"")</f>
        <v/>
      </c>
      <c r="O6" s="3">
        <f>IF(AND(Plan!$G6&lt;=O$4,Plan!$J6&gt;=O$4),Plan!$B6,"")</f>
        <v/>
      </c>
      <c r="P6" s="3">
        <f>IF(AND(Plan!$G6&lt;=P$4,Plan!$J6&gt;=P$4),Plan!$B6,"")</f>
        <v/>
      </c>
      <c r="Q6" s="3">
        <f>IF(AND(Plan!$G6&lt;=Q$4,Plan!$J6&gt;=Q$4),Plan!$B6,"")</f>
        <v/>
      </c>
      <c r="R6" s="3">
        <f>IF(AND(Plan!$G6&lt;=R$4,Plan!$J6&gt;=R$4),Plan!$B6,"")</f>
        <v/>
      </c>
      <c r="S6" s="3">
        <f>IF(AND(Plan!$G6&lt;=S$4,Plan!$J6&gt;=S$4),Plan!$B6,"")</f>
        <v/>
      </c>
      <c r="T6" s="3">
        <f>IF(AND(Plan!$G6&lt;=T$4,Plan!$J6&gt;=T$4),Plan!$B6,"")</f>
        <v/>
      </c>
      <c r="U6" s="3">
        <f>IF(AND(Plan!$G6&lt;=U$4,Plan!$J6&gt;=U$4),Plan!$B6,"")</f>
        <v/>
      </c>
      <c r="V6" s="3">
        <f>IF(AND(Plan!$G6&lt;=V$4,Plan!$J6&gt;=V$4),Plan!$B6,"")</f>
        <v/>
      </c>
      <c r="W6" s="3">
        <f>IF(AND(Plan!$G6&lt;=W$4,Plan!$J6&gt;=W$4),Plan!$B6,"")</f>
        <v/>
      </c>
      <c r="X6" s="3">
        <f>IF(AND(Plan!$G6&lt;=X$4,Plan!$J6&gt;=X$4),Plan!$B6,"")</f>
        <v/>
      </c>
      <c r="Y6" s="3">
        <f>IF(AND(Plan!$G6&lt;=Y$4,Plan!$J6&gt;=Y$4),Plan!$B6,"")</f>
        <v/>
      </c>
      <c r="Z6" s="3">
        <f>IF(AND(Plan!$G6&lt;=Z$4,Plan!$J6&gt;=Z$4),Plan!$B6,"")</f>
        <v/>
      </c>
      <c r="AA6" s="3">
        <f>IF(AND(Plan!$G6&lt;=AA$4,Plan!$J6&gt;=AA$4),Plan!$B6,"")</f>
        <v/>
      </c>
      <c r="AB6" s="3">
        <f>IF(AND(Plan!$G6&lt;=AB$4,Plan!$J6&gt;=AB$4),Plan!$B6,"")</f>
        <v/>
      </c>
      <c r="AC6" s="3">
        <f>IF(AND(Plan!$G6&lt;=AC$4,Plan!$J6&gt;=AC$4),Plan!$B6,"")</f>
        <v/>
      </c>
      <c r="AD6" s="3">
        <f>IF(AND(Plan!$G6&lt;=AD$4,Plan!$J6&gt;=AD$4),Plan!$B6,"")</f>
        <v/>
      </c>
      <c r="AE6" s="3">
        <f>IF(AND(Plan!$G6&lt;=AE$4,Plan!$J6&gt;=AE$4),Plan!$B6,"")</f>
        <v/>
      </c>
      <c r="AF6" s="3">
        <f>IF(AND(Plan!$G6&lt;=AF$4,Plan!$J6&gt;=AF$4),Plan!$B6,"")</f>
        <v/>
      </c>
      <c r="AG6" s="3">
        <f>IF(AND(Plan!$G6&lt;=AG$4,Plan!$J6&gt;=AG$4),Plan!$B6,"")</f>
        <v/>
      </c>
      <c r="AH6" s="3">
        <f>IF(AND(Plan!$G6&lt;=AH$4,Plan!$J6&gt;=AH$4),Plan!$B6,"")</f>
        <v/>
      </c>
      <c r="AI6" s="3">
        <f>IF(AND(Plan!$G6&lt;=AI$4,Plan!$J6&gt;=AI$4),Plan!$B6,"")</f>
        <v/>
      </c>
      <c r="AJ6" s="3">
        <f>IF(AND(Plan!$G6&lt;=AJ$4,Plan!$J6&gt;=AJ$4),Plan!$B6,"")</f>
        <v/>
      </c>
      <c r="AK6" s="3">
        <f>IF(AND(Plan!$G6&lt;=AK$4,Plan!$J6&gt;=AK$4),Plan!$B6,"")</f>
        <v/>
      </c>
      <c r="AL6" s="3">
        <f>IF(AND(Plan!$G6&lt;=AL$4,Plan!$J6&gt;=AL$4),Plan!$B6,"")</f>
        <v/>
      </c>
      <c r="AM6" s="3">
        <f>IF(AND(Plan!$G6&lt;=AM$4,Plan!$J6&gt;=AM$4),Plan!$B6,"")</f>
        <v/>
      </c>
      <c r="AN6" s="3">
        <f>IF(AND(Plan!$G6&lt;=AN$4,Plan!$J6&gt;=AN$4),Plan!$B6,"")</f>
        <v/>
      </c>
      <c r="AO6" s="3">
        <f>IF(AND(Plan!$G6&lt;=AO$4,Plan!$J6&gt;=AO$4),Plan!$B6,"")</f>
        <v/>
      </c>
      <c r="AP6" s="3">
        <f>IF(AND(Plan!$G6&lt;=AP$4,Plan!$J6&gt;=AP$4),Plan!$B6,"")</f>
        <v/>
      </c>
      <c r="AQ6" s="3">
        <f>IF(AND(Plan!$G6&lt;=AQ$4,Plan!$J6&gt;=AQ$4),Plan!$B6,"")</f>
        <v/>
      </c>
      <c r="AR6" s="3">
        <f>IF(AND(Plan!$G6&lt;=AR$4,Plan!$J6&gt;=AR$4),Plan!$B6,"")</f>
        <v/>
      </c>
    </row>
    <row r="7">
      <c r="A7" s="3">
        <f>Plan!$B7</f>
        <v/>
      </c>
      <c r="B7" s="3">
        <f>IF(AND(Plan!$G7&lt;=B$4,Plan!$J7&gt;=B$4),Plan!$B7,"")</f>
        <v/>
      </c>
      <c r="C7" s="3">
        <f>IF(AND(Plan!$G7&lt;=C$4,Plan!$J7&gt;=C$4),Plan!$B7,"")</f>
        <v/>
      </c>
      <c r="D7" s="3">
        <f>IF(AND(Plan!$G7&lt;=D$4,Plan!$J7&gt;=D$4),Plan!$B7,"")</f>
        <v/>
      </c>
      <c r="E7" s="3">
        <f>IF(AND(Plan!$G7&lt;=E$4,Plan!$J7&gt;=E$4),Plan!$B7,"")</f>
        <v/>
      </c>
      <c r="F7" s="3">
        <f>IF(AND(Plan!$G7&lt;=F$4,Plan!$J7&gt;=F$4),Plan!$B7,"")</f>
        <v/>
      </c>
      <c r="G7" s="3">
        <f>IF(AND(Plan!$G7&lt;=G$4,Plan!$J7&gt;=G$4),Plan!$B7,"")</f>
        <v/>
      </c>
      <c r="H7" s="3">
        <f>IF(AND(Plan!$G7&lt;=H$4,Plan!$J7&gt;=H$4),Plan!$B7,"")</f>
        <v/>
      </c>
      <c r="I7" s="3">
        <f>IF(AND(Plan!$G7&lt;=I$4,Plan!$J7&gt;=I$4),Plan!$B7,"")</f>
        <v/>
      </c>
      <c r="J7" s="3">
        <f>IF(AND(Plan!$G7&lt;=J$4,Plan!$J7&gt;=J$4),Plan!$B7,"")</f>
        <v/>
      </c>
      <c r="K7" s="3">
        <f>IF(AND(Plan!$G7&lt;=K$4,Plan!$J7&gt;=K$4),Plan!$B7,"")</f>
        <v/>
      </c>
      <c r="L7" s="3">
        <f>IF(AND(Plan!$G7&lt;=L$4,Plan!$J7&gt;=L$4),Plan!$B7,"")</f>
        <v/>
      </c>
      <c r="M7" s="3">
        <f>IF(AND(Plan!$G7&lt;=M$4,Plan!$J7&gt;=M$4),Plan!$B7,"")</f>
        <v/>
      </c>
      <c r="N7" s="3">
        <f>IF(AND(Plan!$G7&lt;=N$4,Plan!$J7&gt;=N$4),Plan!$B7,"")</f>
        <v/>
      </c>
      <c r="O7" s="3">
        <f>IF(AND(Plan!$G7&lt;=O$4,Plan!$J7&gt;=O$4),Plan!$B7,"")</f>
        <v/>
      </c>
      <c r="P7" s="3">
        <f>IF(AND(Plan!$G7&lt;=P$4,Plan!$J7&gt;=P$4),Plan!$B7,"")</f>
        <v/>
      </c>
      <c r="Q7" s="3">
        <f>IF(AND(Plan!$G7&lt;=Q$4,Plan!$J7&gt;=Q$4),Plan!$B7,"")</f>
        <v/>
      </c>
      <c r="R7" s="3">
        <f>IF(AND(Plan!$G7&lt;=R$4,Plan!$J7&gt;=R$4),Plan!$B7,"")</f>
        <v/>
      </c>
      <c r="S7" s="3">
        <f>IF(AND(Plan!$G7&lt;=S$4,Plan!$J7&gt;=S$4),Plan!$B7,"")</f>
        <v/>
      </c>
      <c r="T7" s="3">
        <f>IF(AND(Plan!$G7&lt;=T$4,Plan!$J7&gt;=T$4),Plan!$B7,"")</f>
        <v/>
      </c>
      <c r="U7" s="3">
        <f>IF(AND(Plan!$G7&lt;=U$4,Plan!$J7&gt;=U$4),Plan!$B7,"")</f>
        <v/>
      </c>
      <c r="V7" s="3">
        <f>IF(AND(Plan!$G7&lt;=V$4,Plan!$J7&gt;=V$4),Plan!$B7,"")</f>
        <v/>
      </c>
      <c r="W7" s="3">
        <f>IF(AND(Plan!$G7&lt;=W$4,Plan!$J7&gt;=W$4),Plan!$B7,"")</f>
        <v/>
      </c>
      <c r="X7" s="3">
        <f>IF(AND(Plan!$G7&lt;=X$4,Plan!$J7&gt;=X$4),Plan!$B7,"")</f>
        <v/>
      </c>
      <c r="Y7" s="3">
        <f>IF(AND(Plan!$G7&lt;=Y$4,Plan!$J7&gt;=Y$4),Plan!$B7,"")</f>
        <v/>
      </c>
      <c r="Z7" s="3">
        <f>IF(AND(Plan!$G7&lt;=Z$4,Plan!$J7&gt;=Z$4),Plan!$B7,"")</f>
        <v/>
      </c>
      <c r="AA7" s="3">
        <f>IF(AND(Plan!$G7&lt;=AA$4,Plan!$J7&gt;=AA$4),Plan!$B7,"")</f>
        <v/>
      </c>
      <c r="AB7" s="3">
        <f>IF(AND(Plan!$G7&lt;=AB$4,Plan!$J7&gt;=AB$4),Plan!$B7,"")</f>
        <v/>
      </c>
      <c r="AC7" s="3">
        <f>IF(AND(Plan!$G7&lt;=AC$4,Plan!$J7&gt;=AC$4),Plan!$B7,"")</f>
        <v/>
      </c>
      <c r="AD7" s="3">
        <f>IF(AND(Plan!$G7&lt;=AD$4,Plan!$J7&gt;=AD$4),Plan!$B7,"")</f>
        <v/>
      </c>
      <c r="AE7" s="3">
        <f>IF(AND(Plan!$G7&lt;=AE$4,Plan!$J7&gt;=AE$4),Plan!$B7,"")</f>
        <v/>
      </c>
      <c r="AF7" s="3">
        <f>IF(AND(Plan!$G7&lt;=AF$4,Plan!$J7&gt;=AF$4),Plan!$B7,"")</f>
        <v/>
      </c>
      <c r="AG7" s="3">
        <f>IF(AND(Plan!$G7&lt;=AG$4,Plan!$J7&gt;=AG$4),Plan!$B7,"")</f>
        <v/>
      </c>
      <c r="AH7" s="3">
        <f>IF(AND(Plan!$G7&lt;=AH$4,Plan!$J7&gt;=AH$4),Plan!$B7,"")</f>
        <v/>
      </c>
      <c r="AI7" s="3">
        <f>IF(AND(Plan!$G7&lt;=AI$4,Plan!$J7&gt;=AI$4),Plan!$B7,"")</f>
        <v/>
      </c>
      <c r="AJ7" s="3">
        <f>IF(AND(Plan!$G7&lt;=AJ$4,Plan!$J7&gt;=AJ$4),Plan!$B7,"")</f>
        <v/>
      </c>
      <c r="AK7" s="3">
        <f>IF(AND(Plan!$G7&lt;=AK$4,Plan!$J7&gt;=AK$4),Plan!$B7,"")</f>
        <v/>
      </c>
      <c r="AL7" s="3">
        <f>IF(AND(Plan!$G7&lt;=AL$4,Plan!$J7&gt;=AL$4),Plan!$B7,"")</f>
        <v/>
      </c>
      <c r="AM7" s="3">
        <f>IF(AND(Plan!$G7&lt;=AM$4,Plan!$J7&gt;=AM$4),Plan!$B7,"")</f>
        <v/>
      </c>
      <c r="AN7" s="3">
        <f>IF(AND(Plan!$G7&lt;=AN$4,Plan!$J7&gt;=AN$4),Plan!$B7,"")</f>
        <v/>
      </c>
      <c r="AO7" s="3">
        <f>IF(AND(Plan!$G7&lt;=AO$4,Plan!$J7&gt;=AO$4),Plan!$B7,"")</f>
        <v/>
      </c>
      <c r="AP7" s="3">
        <f>IF(AND(Plan!$G7&lt;=AP$4,Plan!$J7&gt;=AP$4),Plan!$B7,"")</f>
        <v/>
      </c>
      <c r="AQ7" s="3">
        <f>IF(AND(Plan!$G7&lt;=AQ$4,Plan!$J7&gt;=AQ$4),Plan!$B7,"")</f>
        <v/>
      </c>
      <c r="AR7" s="3">
        <f>IF(AND(Plan!$G7&lt;=AR$4,Plan!$J7&gt;=AR$4),Plan!$B7,"")</f>
        <v/>
      </c>
    </row>
    <row r="8">
      <c r="A8" s="3">
        <f>Plan!$B8</f>
        <v/>
      </c>
      <c r="B8" s="3">
        <f>IF(AND(Plan!$G8&lt;=B$4,Plan!$J8&gt;=B$4),Plan!$B8,"")</f>
        <v/>
      </c>
      <c r="C8" s="3">
        <f>IF(AND(Plan!$G8&lt;=C$4,Plan!$J8&gt;=C$4),Plan!$B8,"")</f>
        <v/>
      </c>
      <c r="D8" s="3">
        <f>IF(AND(Plan!$G8&lt;=D$4,Plan!$J8&gt;=D$4),Plan!$B8,"")</f>
        <v/>
      </c>
      <c r="E8" s="3">
        <f>IF(AND(Plan!$G8&lt;=E$4,Plan!$J8&gt;=E$4),Plan!$B8,"")</f>
        <v/>
      </c>
      <c r="F8" s="3">
        <f>IF(AND(Plan!$G8&lt;=F$4,Plan!$J8&gt;=F$4),Plan!$B8,"")</f>
        <v/>
      </c>
      <c r="G8" s="3">
        <f>IF(AND(Plan!$G8&lt;=G$4,Plan!$J8&gt;=G$4),Plan!$B8,"")</f>
        <v/>
      </c>
      <c r="H8" s="3">
        <f>IF(AND(Plan!$G8&lt;=H$4,Plan!$J8&gt;=H$4),Plan!$B8,"")</f>
        <v/>
      </c>
      <c r="I8" s="3">
        <f>IF(AND(Plan!$G8&lt;=I$4,Plan!$J8&gt;=I$4),Plan!$B8,"")</f>
        <v/>
      </c>
      <c r="J8" s="3">
        <f>IF(AND(Plan!$G8&lt;=J$4,Plan!$J8&gt;=J$4),Plan!$B8,"")</f>
        <v/>
      </c>
      <c r="K8" s="3">
        <f>IF(AND(Plan!$G8&lt;=K$4,Plan!$J8&gt;=K$4),Plan!$B8,"")</f>
        <v/>
      </c>
      <c r="L8" s="3">
        <f>IF(AND(Plan!$G8&lt;=L$4,Plan!$J8&gt;=L$4),Plan!$B8,"")</f>
        <v/>
      </c>
      <c r="M8" s="3">
        <f>IF(AND(Plan!$G8&lt;=M$4,Plan!$J8&gt;=M$4),Plan!$B8,"")</f>
        <v/>
      </c>
      <c r="N8" s="3">
        <f>IF(AND(Plan!$G8&lt;=N$4,Plan!$J8&gt;=N$4),Plan!$B8,"")</f>
        <v/>
      </c>
      <c r="O8" s="3">
        <f>IF(AND(Plan!$G8&lt;=O$4,Plan!$J8&gt;=O$4),Plan!$B8,"")</f>
        <v/>
      </c>
      <c r="P8" s="3">
        <f>IF(AND(Plan!$G8&lt;=P$4,Plan!$J8&gt;=P$4),Plan!$B8,"")</f>
        <v/>
      </c>
      <c r="Q8" s="3">
        <f>IF(AND(Plan!$G8&lt;=Q$4,Plan!$J8&gt;=Q$4),Plan!$B8,"")</f>
        <v/>
      </c>
      <c r="R8" s="3">
        <f>IF(AND(Plan!$G8&lt;=R$4,Plan!$J8&gt;=R$4),Plan!$B8,"")</f>
        <v/>
      </c>
      <c r="S8" s="3">
        <f>IF(AND(Plan!$G8&lt;=S$4,Plan!$J8&gt;=S$4),Plan!$B8,"")</f>
        <v/>
      </c>
      <c r="T8" s="3">
        <f>IF(AND(Plan!$G8&lt;=T$4,Plan!$J8&gt;=T$4),Plan!$B8,"")</f>
        <v/>
      </c>
      <c r="U8" s="3">
        <f>IF(AND(Plan!$G8&lt;=U$4,Plan!$J8&gt;=U$4),Plan!$B8,"")</f>
        <v/>
      </c>
      <c r="V8" s="3">
        <f>IF(AND(Plan!$G8&lt;=V$4,Plan!$J8&gt;=V$4),Plan!$B8,"")</f>
        <v/>
      </c>
      <c r="W8" s="3">
        <f>IF(AND(Plan!$G8&lt;=W$4,Plan!$J8&gt;=W$4),Plan!$B8,"")</f>
        <v/>
      </c>
      <c r="X8" s="3">
        <f>IF(AND(Plan!$G8&lt;=X$4,Plan!$J8&gt;=X$4),Plan!$B8,"")</f>
        <v/>
      </c>
      <c r="Y8" s="3">
        <f>IF(AND(Plan!$G8&lt;=Y$4,Plan!$J8&gt;=Y$4),Plan!$B8,"")</f>
        <v/>
      </c>
      <c r="Z8" s="3">
        <f>IF(AND(Plan!$G8&lt;=Z$4,Plan!$J8&gt;=Z$4),Plan!$B8,"")</f>
        <v/>
      </c>
      <c r="AA8" s="3">
        <f>IF(AND(Plan!$G8&lt;=AA$4,Plan!$J8&gt;=AA$4),Plan!$B8,"")</f>
        <v/>
      </c>
      <c r="AB8" s="3">
        <f>IF(AND(Plan!$G8&lt;=AB$4,Plan!$J8&gt;=AB$4),Plan!$B8,"")</f>
        <v/>
      </c>
      <c r="AC8" s="3">
        <f>IF(AND(Plan!$G8&lt;=AC$4,Plan!$J8&gt;=AC$4),Plan!$B8,"")</f>
        <v/>
      </c>
      <c r="AD8" s="3">
        <f>IF(AND(Plan!$G8&lt;=AD$4,Plan!$J8&gt;=AD$4),Plan!$B8,"")</f>
        <v/>
      </c>
      <c r="AE8" s="3">
        <f>IF(AND(Plan!$G8&lt;=AE$4,Plan!$J8&gt;=AE$4),Plan!$B8,"")</f>
        <v/>
      </c>
      <c r="AF8" s="3">
        <f>IF(AND(Plan!$G8&lt;=AF$4,Plan!$J8&gt;=AF$4),Plan!$B8,"")</f>
        <v/>
      </c>
      <c r="AG8" s="3">
        <f>IF(AND(Plan!$G8&lt;=AG$4,Plan!$J8&gt;=AG$4),Plan!$B8,"")</f>
        <v/>
      </c>
      <c r="AH8" s="3">
        <f>IF(AND(Plan!$G8&lt;=AH$4,Plan!$J8&gt;=AH$4),Plan!$B8,"")</f>
        <v/>
      </c>
      <c r="AI8" s="3">
        <f>IF(AND(Plan!$G8&lt;=AI$4,Plan!$J8&gt;=AI$4),Plan!$B8,"")</f>
        <v/>
      </c>
      <c r="AJ8" s="3">
        <f>IF(AND(Plan!$G8&lt;=AJ$4,Plan!$J8&gt;=AJ$4),Plan!$B8,"")</f>
        <v/>
      </c>
      <c r="AK8" s="3">
        <f>IF(AND(Plan!$G8&lt;=AK$4,Plan!$J8&gt;=AK$4),Plan!$B8,"")</f>
        <v/>
      </c>
      <c r="AL8" s="3">
        <f>IF(AND(Plan!$G8&lt;=AL$4,Plan!$J8&gt;=AL$4),Plan!$B8,"")</f>
        <v/>
      </c>
      <c r="AM8" s="3">
        <f>IF(AND(Plan!$G8&lt;=AM$4,Plan!$J8&gt;=AM$4),Plan!$B8,"")</f>
        <v/>
      </c>
      <c r="AN8" s="3">
        <f>IF(AND(Plan!$G8&lt;=AN$4,Plan!$J8&gt;=AN$4),Plan!$B8,"")</f>
        <v/>
      </c>
      <c r="AO8" s="3">
        <f>IF(AND(Plan!$G8&lt;=AO$4,Plan!$J8&gt;=AO$4),Plan!$B8,"")</f>
        <v/>
      </c>
      <c r="AP8" s="3">
        <f>IF(AND(Plan!$G8&lt;=AP$4,Plan!$J8&gt;=AP$4),Plan!$B8,"")</f>
        <v/>
      </c>
      <c r="AQ8" s="3">
        <f>IF(AND(Plan!$G8&lt;=AQ$4,Plan!$J8&gt;=AQ$4),Plan!$B8,"")</f>
        <v/>
      </c>
      <c r="AR8" s="3">
        <f>IF(AND(Plan!$G8&lt;=AR$4,Plan!$J8&gt;=AR$4),Plan!$B8,"")</f>
        <v/>
      </c>
    </row>
    <row r="9">
      <c r="A9" s="3">
        <f>Plan!$B9</f>
        <v/>
      </c>
      <c r="B9" s="3">
        <f>IF(AND(Plan!$G9&lt;=B$4,Plan!$J9&gt;=B$4),Plan!$B9,"")</f>
        <v/>
      </c>
      <c r="C9" s="3">
        <f>IF(AND(Plan!$G9&lt;=C$4,Plan!$J9&gt;=C$4),Plan!$B9,"")</f>
        <v/>
      </c>
      <c r="D9" s="3">
        <f>IF(AND(Plan!$G9&lt;=D$4,Plan!$J9&gt;=D$4),Plan!$B9,"")</f>
        <v/>
      </c>
      <c r="E9" s="3">
        <f>IF(AND(Plan!$G9&lt;=E$4,Plan!$J9&gt;=E$4),Plan!$B9,"")</f>
        <v/>
      </c>
      <c r="F9" s="3">
        <f>IF(AND(Plan!$G9&lt;=F$4,Plan!$J9&gt;=F$4),Plan!$B9,"")</f>
        <v/>
      </c>
      <c r="G9" s="3">
        <f>IF(AND(Plan!$G9&lt;=G$4,Plan!$J9&gt;=G$4),Plan!$B9,"")</f>
        <v/>
      </c>
      <c r="H9" s="3">
        <f>IF(AND(Plan!$G9&lt;=H$4,Plan!$J9&gt;=H$4),Plan!$B9,"")</f>
        <v/>
      </c>
      <c r="I9" s="3">
        <f>IF(AND(Plan!$G9&lt;=I$4,Plan!$J9&gt;=I$4),Plan!$B9,"")</f>
        <v/>
      </c>
      <c r="J9" s="3">
        <f>IF(AND(Plan!$G9&lt;=J$4,Plan!$J9&gt;=J$4),Plan!$B9,"")</f>
        <v/>
      </c>
      <c r="K9" s="3">
        <f>IF(AND(Plan!$G9&lt;=K$4,Plan!$J9&gt;=K$4),Plan!$B9,"")</f>
        <v/>
      </c>
      <c r="L9" s="3">
        <f>IF(AND(Plan!$G9&lt;=L$4,Plan!$J9&gt;=L$4),Plan!$B9,"")</f>
        <v/>
      </c>
      <c r="M9" s="3">
        <f>IF(AND(Plan!$G9&lt;=M$4,Plan!$J9&gt;=M$4),Plan!$B9,"")</f>
        <v/>
      </c>
      <c r="N9" s="3">
        <f>IF(AND(Plan!$G9&lt;=N$4,Plan!$J9&gt;=N$4),Plan!$B9,"")</f>
        <v/>
      </c>
      <c r="O9" s="3">
        <f>IF(AND(Plan!$G9&lt;=O$4,Plan!$J9&gt;=O$4),Plan!$B9,"")</f>
        <v/>
      </c>
      <c r="P9" s="3">
        <f>IF(AND(Plan!$G9&lt;=P$4,Plan!$J9&gt;=P$4),Plan!$B9,"")</f>
        <v/>
      </c>
      <c r="Q9" s="3">
        <f>IF(AND(Plan!$G9&lt;=Q$4,Plan!$J9&gt;=Q$4),Plan!$B9,"")</f>
        <v/>
      </c>
      <c r="R9" s="3">
        <f>IF(AND(Plan!$G9&lt;=R$4,Plan!$J9&gt;=R$4),Plan!$B9,"")</f>
        <v/>
      </c>
      <c r="S9" s="3">
        <f>IF(AND(Plan!$G9&lt;=S$4,Plan!$J9&gt;=S$4),Plan!$B9,"")</f>
        <v/>
      </c>
      <c r="T9" s="3">
        <f>IF(AND(Plan!$G9&lt;=T$4,Plan!$J9&gt;=T$4),Plan!$B9,"")</f>
        <v/>
      </c>
      <c r="U9" s="3">
        <f>IF(AND(Plan!$G9&lt;=U$4,Plan!$J9&gt;=U$4),Plan!$B9,"")</f>
        <v/>
      </c>
      <c r="V9" s="3">
        <f>IF(AND(Plan!$G9&lt;=V$4,Plan!$J9&gt;=V$4),Plan!$B9,"")</f>
        <v/>
      </c>
      <c r="W9" s="3">
        <f>IF(AND(Plan!$G9&lt;=W$4,Plan!$J9&gt;=W$4),Plan!$B9,"")</f>
        <v/>
      </c>
      <c r="X9" s="3">
        <f>IF(AND(Plan!$G9&lt;=X$4,Plan!$J9&gt;=X$4),Plan!$B9,"")</f>
        <v/>
      </c>
      <c r="Y9" s="3">
        <f>IF(AND(Plan!$G9&lt;=Y$4,Plan!$J9&gt;=Y$4),Plan!$B9,"")</f>
        <v/>
      </c>
      <c r="Z9" s="3">
        <f>IF(AND(Plan!$G9&lt;=Z$4,Plan!$J9&gt;=Z$4),Plan!$B9,"")</f>
        <v/>
      </c>
      <c r="AA9" s="3">
        <f>IF(AND(Plan!$G9&lt;=AA$4,Plan!$J9&gt;=AA$4),Plan!$B9,"")</f>
        <v/>
      </c>
      <c r="AB9" s="3">
        <f>IF(AND(Plan!$G9&lt;=AB$4,Plan!$J9&gt;=AB$4),Plan!$B9,"")</f>
        <v/>
      </c>
      <c r="AC9" s="3">
        <f>IF(AND(Plan!$G9&lt;=AC$4,Plan!$J9&gt;=AC$4),Plan!$B9,"")</f>
        <v/>
      </c>
      <c r="AD9" s="3">
        <f>IF(AND(Plan!$G9&lt;=AD$4,Plan!$J9&gt;=AD$4),Plan!$B9,"")</f>
        <v/>
      </c>
      <c r="AE9" s="3">
        <f>IF(AND(Plan!$G9&lt;=AE$4,Plan!$J9&gt;=AE$4),Plan!$B9,"")</f>
        <v/>
      </c>
      <c r="AF9" s="3">
        <f>IF(AND(Plan!$G9&lt;=AF$4,Plan!$J9&gt;=AF$4),Plan!$B9,"")</f>
        <v/>
      </c>
      <c r="AG9" s="3">
        <f>IF(AND(Plan!$G9&lt;=AG$4,Plan!$J9&gt;=AG$4),Plan!$B9,"")</f>
        <v/>
      </c>
      <c r="AH9" s="3">
        <f>IF(AND(Plan!$G9&lt;=AH$4,Plan!$J9&gt;=AH$4),Plan!$B9,"")</f>
        <v/>
      </c>
      <c r="AI9" s="3">
        <f>IF(AND(Plan!$G9&lt;=AI$4,Plan!$J9&gt;=AI$4),Plan!$B9,"")</f>
        <v/>
      </c>
      <c r="AJ9" s="3">
        <f>IF(AND(Plan!$G9&lt;=AJ$4,Plan!$J9&gt;=AJ$4),Plan!$B9,"")</f>
        <v/>
      </c>
      <c r="AK9" s="3">
        <f>IF(AND(Plan!$G9&lt;=AK$4,Plan!$J9&gt;=AK$4),Plan!$B9,"")</f>
        <v/>
      </c>
      <c r="AL9" s="3">
        <f>IF(AND(Plan!$G9&lt;=AL$4,Plan!$J9&gt;=AL$4),Plan!$B9,"")</f>
        <v/>
      </c>
      <c r="AM9" s="3">
        <f>IF(AND(Plan!$G9&lt;=AM$4,Plan!$J9&gt;=AM$4),Plan!$B9,"")</f>
        <v/>
      </c>
      <c r="AN9" s="3">
        <f>IF(AND(Plan!$G9&lt;=AN$4,Plan!$J9&gt;=AN$4),Plan!$B9,"")</f>
        <v/>
      </c>
      <c r="AO9" s="3">
        <f>IF(AND(Plan!$G9&lt;=AO$4,Plan!$J9&gt;=AO$4),Plan!$B9,"")</f>
        <v/>
      </c>
      <c r="AP9" s="3">
        <f>IF(AND(Plan!$G9&lt;=AP$4,Plan!$J9&gt;=AP$4),Plan!$B9,"")</f>
        <v/>
      </c>
      <c r="AQ9" s="3">
        <f>IF(AND(Plan!$G9&lt;=AQ$4,Plan!$J9&gt;=AQ$4),Plan!$B9,"")</f>
        <v/>
      </c>
      <c r="AR9" s="3">
        <f>IF(AND(Plan!$G9&lt;=AR$4,Plan!$J9&gt;=AR$4),Plan!$B9,"")</f>
        <v/>
      </c>
    </row>
    <row r="10">
      <c r="A10" s="3">
        <f>Plan!$B10</f>
        <v/>
      </c>
      <c r="B10" s="3">
        <f>IF(AND(Plan!$G10&lt;=B$4,Plan!$J10&gt;=B$4),Plan!$B10,"")</f>
        <v/>
      </c>
      <c r="C10" s="3">
        <f>IF(AND(Plan!$G10&lt;=C$4,Plan!$J10&gt;=C$4),Plan!$B10,"")</f>
        <v/>
      </c>
      <c r="D10" s="3">
        <f>IF(AND(Plan!$G10&lt;=D$4,Plan!$J10&gt;=D$4),Plan!$B10,"")</f>
        <v/>
      </c>
      <c r="E10" s="3">
        <f>IF(AND(Plan!$G10&lt;=E$4,Plan!$J10&gt;=E$4),Plan!$B10,"")</f>
        <v/>
      </c>
      <c r="F10" s="3">
        <f>IF(AND(Plan!$G10&lt;=F$4,Plan!$J10&gt;=F$4),Plan!$B10,"")</f>
        <v/>
      </c>
      <c r="G10" s="3">
        <f>IF(AND(Plan!$G10&lt;=G$4,Plan!$J10&gt;=G$4),Plan!$B10,"")</f>
        <v/>
      </c>
      <c r="H10" s="3">
        <f>IF(AND(Plan!$G10&lt;=H$4,Plan!$J10&gt;=H$4),Plan!$B10,"")</f>
        <v/>
      </c>
      <c r="I10" s="3">
        <f>IF(AND(Plan!$G10&lt;=I$4,Plan!$J10&gt;=I$4),Plan!$B10,"")</f>
        <v/>
      </c>
      <c r="J10" s="3">
        <f>IF(AND(Plan!$G10&lt;=J$4,Plan!$J10&gt;=J$4),Plan!$B10,"")</f>
        <v/>
      </c>
      <c r="K10" s="3">
        <f>IF(AND(Plan!$G10&lt;=K$4,Plan!$J10&gt;=K$4),Plan!$B10,"")</f>
        <v/>
      </c>
      <c r="L10" s="3">
        <f>IF(AND(Plan!$G10&lt;=L$4,Plan!$J10&gt;=L$4),Plan!$B10,"")</f>
        <v/>
      </c>
      <c r="M10" s="3">
        <f>IF(AND(Plan!$G10&lt;=M$4,Plan!$J10&gt;=M$4),Plan!$B10,"")</f>
        <v/>
      </c>
      <c r="N10" s="3">
        <f>IF(AND(Plan!$G10&lt;=N$4,Plan!$J10&gt;=N$4),Plan!$B10,"")</f>
        <v/>
      </c>
      <c r="O10" s="3">
        <f>IF(AND(Plan!$G10&lt;=O$4,Plan!$J10&gt;=O$4),Plan!$B10,"")</f>
        <v/>
      </c>
      <c r="P10" s="3">
        <f>IF(AND(Plan!$G10&lt;=P$4,Plan!$J10&gt;=P$4),Plan!$B10,"")</f>
        <v/>
      </c>
      <c r="Q10" s="3">
        <f>IF(AND(Plan!$G10&lt;=Q$4,Plan!$J10&gt;=Q$4),Plan!$B10,"")</f>
        <v/>
      </c>
      <c r="R10" s="3">
        <f>IF(AND(Plan!$G10&lt;=R$4,Plan!$J10&gt;=R$4),Plan!$B10,"")</f>
        <v/>
      </c>
      <c r="S10" s="3">
        <f>IF(AND(Plan!$G10&lt;=S$4,Plan!$J10&gt;=S$4),Plan!$B10,"")</f>
        <v/>
      </c>
      <c r="T10" s="3">
        <f>IF(AND(Plan!$G10&lt;=T$4,Plan!$J10&gt;=T$4),Plan!$B10,"")</f>
        <v/>
      </c>
      <c r="U10" s="3">
        <f>IF(AND(Plan!$G10&lt;=U$4,Plan!$J10&gt;=U$4),Plan!$B10,"")</f>
        <v/>
      </c>
      <c r="V10" s="3">
        <f>IF(AND(Plan!$G10&lt;=V$4,Plan!$J10&gt;=V$4),Plan!$B10,"")</f>
        <v/>
      </c>
      <c r="W10" s="3">
        <f>IF(AND(Plan!$G10&lt;=W$4,Plan!$J10&gt;=W$4),Plan!$B10,"")</f>
        <v/>
      </c>
      <c r="X10" s="3">
        <f>IF(AND(Plan!$G10&lt;=X$4,Plan!$J10&gt;=X$4),Plan!$B10,"")</f>
        <v/>
      </c>
      <c r="Y10" s="3">
        <f>IF(AND(Plan!$G10&lt;=Y$4,Plan!$J10&gt;=Y$4),Plan!$B10,"")</f>
        <v/>
      </c>
      <c r="Z10" s="3">
        <f>IF(AND(Plan!$G10&lt;=Z$4,Plan!$J10&gt;=Z$4),Plan!$B10,"")</f>
        <v/>
      </c>
      <c r="AA10" s="3">
        <f>IF(AND(Plan!$G10&lt;=AA$4,Plan!$J10&gt;=AA$4),Plan!$B10,"")</f>
        <v/>
      </c>
      <c r="AB10" s="3">
        <f>IF(AND(Plan!$G10&lt;=AB$4,Plan!$J10&gt;=AB$4),Plan!$B10,"")</f>
        <v/>
      </c>
      <c r="AC10" s="3">
        <f>IF(AND(Plan!$G10&lt;=AC$4,Plan!$J10&gt;=AC$4),Plan!$B10,"")</f>
        <v/>
      </c>
      <c r="AD10" s="3">
        <f>IF(AND(Plan!$G10&lt;=AD$4,Plan!$J10&gt;=AD$4),Plan!$B10,"")</f>
        <v/>
      </c>
      <c r="AE10" s="3">
        <f>IF(AND(Plan!$G10&lt;=AE$4,Plan!$J10&gt;=AE$4),Plan!$B10,"")</f>
        <v/>
      </c>
      <c r="AF10" s="3">
        <f>IF(AND(Plan!$G10&lt;=AF$4,Plan!$J10&gt;=AF$4),Plan!$B10,"")</f>
        <v/>
      </c>
      <c r="AG10" s="3">
        <f>IF(AND(Plan!$G10&lt;=AG$4,Plan!$J10&gt;=AG$4),Plan!$B10,"")</f>
        <v/>
      </c>
      <c r="AH10" s="3">
        <f>IF(AND(Plan!$G10&lt;=AH$4,Plan!$J10&gt;=AH$4),Plan!$B10,"")</f>
        <v/>
      </c>
      <c r="AI10" s="3">
        <f>IF(AND(Plan!$G10&lt;=AI$4,Plan!$J10&gt;=AI$4),Plan!$B10,"")</f>
        <v/>
      </c>
      <c r="AJ10" s="3">
        <f>IF(AND(Plan!$G10&lt;=AJ$4,Plan!$J10&gt;=AJ$4),Plan!$B10,"")</f>
        <v/>
      </c>
      <c r="AK10" s="3">
        <f>IF(AND(Plan!$G10&lt;=AK$4,Plan!$J10&gt;=AK$4),Plan!$B10,"")</f>
        <v/>
      </c>
      <c r="AL10" s="3">
        <f>IF(AND(Plan!$G10&lt;=AL$4,Plan!$J10&gt;=AL$4),Plan!$B10,"")</f>
        <v/>
      </c>
      <c r="AM10" s="3">
        <f>IF(AND(Plan!$G10&lt;=AM$4,Plan!$J10&gt;=AM$4),Plan!$B10,"")</f>
        <v/>
      </c>
      <c r="AN10" s="3">
        <f>IF(AND(Plan!$G10&lt;=AN$4,Plan!$J10&gt;=AN$4),Plan!$B10,"")</f>
        <v/>
      </c>
      <c r="AO10" s="3">
        <f>IF(AND(Plan!$G10&lt;=AO$4,Plan!$J10&gt;=AO$4),Plan!$B10,"")</f>
        <v/>
      </c>
      <c r="AP10" s="3">
        <f>IF(AND(Plan!$G10&lt;=AP$4,Plan!$J10&gt;=AP$4),Plan!$B10,"")</f>
        <v/>
      </c>
      <c r="AQ10" s="3">
        <f>IF(AND(Plan!$G10&lt;=AQ$4,Plan!$J10&gt;=AQ$4),Plan!$B10,"")</f>
        <v/>
      </c>
      <c r="AR10" s="3">
        <f>IF(AND(Plan!$G10&lt;=AR$4,Plan!$J10&gt;=AR$4),Plan!$B10,"")</f>
        <v/>
      </c>
    </row>
    <row r="11">
      <c r="A11" s="3">
        <f>Plan!$B11</f>
        <v/>
      </c>
      <c r="B11" s="3">
        <f>IF(AND(Plan!$G11&lt;=B$4,Plan!$J11&gt;=B$4),Plan!$B11,"")</f>
        <v/>
      </c>
      <c r="C11" s="3">
        <f>IF(AND(Plan!$G11&lt;=C$4,Plan!$J11&gt;=C$4),Plan!$B11,"")</f>
        <v/>
      </c>
      <c r="D11" s="3">
        <f>IF(AND(Plan!$G11&lt;=D$4,Plan!$J11&gt;=D$4),Plan!$B11,"")</f>
        <v/>
      </c>
      <c r="E11" s="3">
        <f>IF(AND(Plan!$G11&lt;=E$4,Plan!$J11&gt;=E$4),Plan!$B11,"")</f>
        <v/>
      </c>
      <c r="F11" s="3">
        <f>IF(AND(Plan!$G11&lt;=F$4,Plan!$J11&gt;=F$4),Plan!$B11,"")</f>
        <v/>
      </c>
      <c r="G11" s="3">
        <f>IF(AND(Plan!$G11&lt;=G$4,Plan!$J11&gt;=G$4),Plan!$B11,"")</f>
        <v/>
      </c>
      <c r="H11" s="3">
        <f>IF(AND(Plan!$G11&lt;=H$4,Plan!$J11&gt;=H$4),Plan!$B11,"")</f>
        <v/>
      </c>
      <c r="I11" s="3">
        <f>IF(AND(Plan!$G11&lt;=I$4,Plan!$J11&gt;=I$4),Plan!$B11,"")</f>
        <v/>
      </c>
      <c r="J11" s="3">
        <f>IF(AND(Plan!$G11&lt;=J$4,Plan!$J11&gt;=J$4),Plan!$B11,"")</f>
        <v/>
      </c>
      <c r="K11" s="3">
        <f>IF(AND(Plan!$G11&lt;=K$4,Plan!$J11&gt;=K$4),Plan!$B11,"")</f>
        <v/>
      </c>
      <c r="L11" s="3">
        <f>IF(AND(Plan!$G11&lt;=L$4,Plan!$J11&gt;=L$4),Plan!$B11,"")</f>
        <v/>
      </c>
      <c r="M11" s="3">
        <f>IF(AND(Plan!$G11&lt;=M$4,Plan!$J11&gt;=M$4),Plan!$B11,"")</f>
        <v/>
      </c>
      <c r="N11" s="3">
        <f>IF(AND(Plan!$G11&lt;=N$4,Plan!$J11&gt;=N$4),Plan!$B11,"")</f>
        <v/>
      </c>
      <c r="O11" s="3">
        <f>IF(AND(Plan!$G11&lt;=O$4,Plan!$J11&gt;=O$4),Plan!$B11,"")</f>
        <v/>
      </c>
      <c r="P11" s="3">
        <f>IF(AND(Plan!$G11&lt;=P$4,Plan!$J11&gt;=P$4),Plan!$B11,"")</f>
        <v/>
      </c>
      <c r="Q11" s="3">
        <f>IF(AND(Plan!$G11&lt;=Q$4,Plan!$J11&gt;=Q$4),Plan!$B11,"")</f>
        <v/>
      </c>
      <c r="R11" s="3">
        <f>IF(AND(Plan!$G11&lt;=R$4,Plan!$J11&gt;=R$4),Plan!$B11,"")</f>
        <v/>
      </c>
      <c r="S11" s="3">
        <f>IF(AND(Plan!$G11&lt;=S$4,Plan!$J11&gt;=S$4),Plan!$B11,"")</f>
        <v/>
      </c>
      <c r="T11" s="3">
        <f>IF(AND(Plan!$G11&lt;=T$4,Plan!$J11&gt;=T$4),Plan!$B11,"")</f>
        <v/>
      </c>
      <c r="U11" s="3">
        <f>IF(AND(Plan!$G11&lt;=U$4,Plan!$J11&gt;=U$4),Plan!$B11,"")</f>
        <v/>
      </c>
      <c r="V11" s="3">
        <f>IF(AND(Plan!$G11&lt;=V$4,Plan!$J11&gt;=V$4),Plan!$B11,"")</f>
        <v/>
      </c>
      <c r="W11" s="3">
        <f>IF(AND(Plan!$G11&lt;=W$4,Plan!$J11&gt;=W$4),Plan!$B11,"")</f>
        <v/>
      </c>
      <c r="X11" s="3">
        <f>IF(AND(Plan!$G11&lt;=X$4,Plan!$J11&gt;=X$4),Plan!$B11,"")</f>
        <v/>
      </c>
      <c r="Y11" s="3">
        <f>IF(AND(Plan!$G11&lt;=Y$4,Plan!$J11&gt;=Y$4),Plan!$B11,"")</f>
        <v/>
      </c>
      <c r="Z11" s="3">
        <f>IF(AND(Plan!$G11&lt;=Z$4,Plan!$J11&gt;=Z$4),Plan!$B11,"")</f>
        <v/>
      </c>
      <c r="AA11" s="3">
        <f>IF(AND(Plan!$G11&lt;=AA$4,Plan!$J11&gt;=AA$4),Plan!$B11,"")</f>
        <v/>
      </c>
      <c r="AB11" s="3">
        <f>IF(AND(Plan!$G11&lt;=AB$4,Plan!$J11&gt;=AB$4),Plan!$B11,"")</f>
        <v/>
      </c>
      <c r="AC11" s="3">
        <f>IF(AND(Plan!$G11&lt;=AC$4,Plan!$J11&gt;=AC$4),Plan!$B11,"")</f>
        <v/>
      </c>
      <c r="AD11" s="3">
        <f>IF(AND(Plan!$G11&lt;=AD$4,Plan!$J11&gt;=AD$4),Plan!$B11,"")</f>
        <v/>
      </c>
      <c r="AE11" s="3">
        <f>IF(AND(Plan!$G11&lt;=AE$4,Plan!$J11&gt;=AE$4),Plan!$B11,"")</f>
        <v/>
      </c>
      <c r="AF11" s="3">
        <f>IF(AND(Plan!$G11&lt;=AF$4,Plan!$J11&gt;=AF$4),Plan!$B11,"")</f>
        <v/>
      </c>
      <c r="AG11" s="3">
        <f>IF(AND(Plan!$G11&lt;=AG$4,Plan!$J11&gt;=AG$4),Plan!$B11,"")</f>
        <v/>
      </c>
      <c r="AH11" s="3">
        <f>IF(AND(Plan!$G11&lt;=AH$4,Plan!$J11&gt;=AH$4),Plan!$B11,"")</f>
        <v/>
      </c>
      <c r="AI11" s="3">
        <f>IF(AND(Plan!$G11&lt;=AI$4,Plan!$J11&gt;=AI$4),Plan!$B11,"")</f>
        <v/>
      </c>
      <c r="AJ11" s="3">
        <f>IF(AND(Plan!$G11&lt;=AJ$4,Plan!$J11&gt;=AJ$4),Plan!$B11,"")</f>
        <v/>
      </c>
      <c r="AK11" s="3">
        <f>IF(AND(Plan!$G11&lt;=AK$4,Plan!$J11&gt;=AK$4),Plan!$B11,"")</f>
        <v/>
      </c>
      <c r="AL11" s="3">
        <f>IF(AND(Plan!$G11&lt;=AL$4,Plan!$J11&gt;=AL$4),Plan!$B11,"")</f>
        <v/>
      </c>
      <c r="AM11" s="3">
        <f>IF(AND(Plan!$G11&lt;=AM$4,Plan!$J11&gt;=AM$4),Plan!$B11,"")</f>
        <v/>
      </c>
      <c r="AN11" s="3">
        <f>IF(AND(Plan!$G11&lt;=AN$4,Plan!$J11&gt;=AN$4),Plan!$B11,"")</f>
        <v/>
      </c>
      <c r="AO11" s="3">
        <f>IF(AND(Plan!$G11&lt;=AO$4,Plan!$J11&gt;=AO$4),Plan!$B11,"")</f>
        <v/>
      </c>
      <c r="AP11" s="3">
        <f>IF(AND(Plan!$G11&lt;=AP$4,Plan!$J11&gt;=AP$4),Plan!$B11,"")</f>
        <v/>
      </c>
      <c r="AQ11" s="3">
        <f>IF(AND(Plan!$G11&lt;=AQ$4,Plan!$J11&gt;=AQ$4),Plan!$B11,"")</f>
        <v/>
      </c>
      <c r="AR11" s="3">
        <f>IF(AND(Plan!$G11&lt;=AR$4,Plan!$J11&gt;=AR$4),Plan!$B11,"")</f>
        <v/>
      </c>
    </row>
    <row r="12">
      <c r="A12" s="3">
        <f>Plan!$B12</f>
        <v/>
      </c>
      <c r="B12" s="3">
        <f>IF(AND(Plan!$G12&lt;=B$4,Plan!$J12&gt;=B$4),Plan!$B12,"")</f>
        <v/>
      </c>
      <c r="C12" s="3">
        <f>IF(AND(Plan!$G12&lt;=C$4,Plan!$J12&gt;=C$4),Plan!$B12,"")</f>
        <v/>
      </c>
      <c r="D12" s="3">
        <f>IF(AND(Plan!$G12&lt;=D$4,Plan!$J12&gt;=D$4),Plan!$B12,"")</f>
        <v/>
      </c>
      <c r="E12" s="3">
        <f>IF(AND(Plan!$G12&lt;=E$4,Plan!$J12&gt;=E$4),Plan!$B12,"")</f>
        <v/>
      </c>
      <c r="F12" s="3">
        <f>IF(AND(Plan!$G12&lt;=F$4,Plan!$J12&gt;=F$4),Plan!$B12,"")</f>
        <v/>
      </c>
      <c r="G12" s="3">
        <f>IF(AND(Plan!$G12&lt;=G$4,Plan!$J12&gt;=G$4),Plan!$B12,"")</f>
        <v/>
      </c>
      <c r="H12" s="3">
        <f>IF(AND(Plan!$G12&lt;=H$4,Plan!$J12&gt;=H$4),Plan!$B12,"")</f>
        <v/>
      </c>
      <c r="I12" s="3">
        <f>IF(AND(Plan!$G12&lt;=I$4,Plan!$J12&gt;=I$4),Plan!$B12,"")</f>
        <v/>
      </c>
      <c r="J12" s="3">
        <f>IF(AND(Plan!$G12&lt;=J$4,Plan!$J12&gt;=J$4),Plan!$B12,"")</f>
        <v/>
      </c>
      <c r="K12" s="3">
        <f>IF(AND(Plan!$G12&lt;=K$4,Plan!$J12&gt;=K$4),Plan!$B12,"")</f>
        <v/>
      </c>
      <c r="L12" s="3">
        <f>IF(AND(Plan!$G12&lt;=L$4,Plan!$J12&gt;=L$4),Plan!$B12,"")</f>
        <v/>
      </c>
      <c r="M12" s="3">
        <f>IF(AND(Plan!$G12&lt;=M$4,Plan!$J12&gt;=M$4),Plan!$B12,"")</f>
        <v/>
      </c>
      <c r="N12" s="3">
        <f>IF(AND(Plan!$G12&lt;=N$4,Plan!$J12&gt;=N$4),Plan!$B12,"")</f>
        <v/>
      </c>
      <c r="O12" s="3">
        <f>IF(AND(Plan!$G12&lt;=O$4,Plan!$J12&gt;=O$4),Plan!$B12,"")</f>
        <v/>
      </c>
      <c r="P12" s="3">
        <f>IF(AND(Plan!$G12&lt;=P$4,Plan!$J12&gt;=P$4),Plan!$B12,"")</f>
        <v/>
      </c>
      <c r="Q12" s="3">
        <f>IF(AND(Plan!$G12&lt;=Q$4,Plan!$J12&gt;=Q$4),Plan!$B12,"")</f>
        <v/>
      </c>
      <c r="R12" s="3">
        <f>IF(AND(Plan!$G12&lt;=R$4,Plan!$J12&gt;=R$4),Plan!$B12,"")</f>
        <v/>
      </c>
      <c r="S12" s="3">
        <f>IF(AND(Plan!$G12&lt;=S$4,Plan!$J12&gt;=S$4),Plan!$B12,"")</f>
        <v/>
      </c>
      <c r="T12" s="3">
        <f>IF(AND(Plan!$G12&lt;=T$4,Plan!$J12&gt;=T$4),Plan!$B12,"")</f>
        <v/>
      </c>
      <c r="U12" s="3">
        <f>IF(AND(Plan!$G12&lt;=U$4,Plan!$J12&gt;=U$4),Plan!$B12,"")</f>
        <v/>
      </c>
      <c r="V12" s="3">
        <f>IF(AND(Plan!$G12&lt;=V$4,Plan!$J12&gt;=V$4),Plan!$B12,"")</f>
        <v/>
      </c>
      <c r="W12" s="3">
        <f>IF(AND(Plan!$G12&lt;=W$4,Plan!$J12&gt;=W$4),Plan!$B12,"")</f>
        <v/>
      </c>
      <c r="X12" s="3">
        <f>IF(AND(Plan!$G12&lt;=X$4,Plan!$J12&gt;=X$4),Plan!$B12,"")</f>
        <v/>
      </c>
      <c r="Y12" s="3">
        <f>IF(AND(Plan!$G12&lt;=Y$4,Plan!$J12&gt;=Y$4),Plan!$B12,"")</f>
        <v/>
      </c>
      <c r="Z12" s="3">
        <f>IF(AND(Plan!$G12&lt;=Z$4,Plan!$J12&gt;=Z$4),Plan!$B12,"")</f>
        <v/>
      </c>
      <c r="AA12" s="3">
        <f>IF(AND(Plan!$G12&lt;=AA$4,Plan!$J12&gt;=AA$4),Plan!$B12,"")</f>
        <v/>
      </c>
      <c r="AB12" s="3">
        <f>IF(AND(Plan!$G12&lt;=AB$4,Plan!$J12&gt;=AB$4),Plan!$B12,"")</f>
        <v/>
      </c>
      <c r="AC12" s="3">
        <f>IF(AND(Plan!$G12&lt;=AC$4,Plan!$J12&gt;=AC$4),Plan!$B12,"")</f>
        <v/>
      </c>
      <c r="AD12" s="3">
        <f>IF(AND(Plan!$G12&lt;=AD$4,Plan!$J12&gt;=AD$4),Plan!$B12,"")</f>
        <v/>
      </c>
      <c r="AE12" s="3">
        <f>IF(AND(Plan!$G12&lt;=AE$4,Plan!$J12&gt;=AE$4),Plan!$B12,"")</f>
        <v/>
      </c>
      <c r="AF12" s="3">
        <f>IF(AND(Plan!$G12&lt;=AF$4,Plan!$J12&gt;=AF$4),Plan!$B12,"")</f>
        <v/>
      </c>
      <c r="AG12" s="3">
        <f>IF(AND(Plan!$G12&lt;=AG$4,Plan!$J12&gt;=AG$4),Plan!$B12,"")</f>
        <v/>
      </c>
      <c r="AH12" s="3">
        <f>IF(AND(Plan!$G12&lt;=AH$4,Plan!$J12&gt;=AH$4),Plan!$B12,"")</f>
        <v/>
      </c>
      <c r="AI12" s="3">
        <f>IF(AND(Plan!$G12&lt;=AI$4,Plan!$J12&gt;=AI$4),Plan!$B12,"")</f>
        <v/>
      </c>
      <c r="AJ12" s="3">
        <f>IF(AND(Plan!$G12&lt;=AJ$4,Plan!$J12&gt;=AJ$4),Plan!$B12,"")</f>
        <v/>
      </c>
      <c r="AK12" s="3">
        <f>IF(AND(Plan!$G12&lt;=AK$4,Plan!$J12&gt;=AK$4),Plan!$B12,"")</f>
        <v/>
      </c>
      <c r="AL12" s="3">
        <f>IF(AND(Plan!$G12&lt;=AL$4,Plan!$J12&gt;=AL$4),Plan!$B12,"")</f>
        <v/>
      </c>
      <c r="AM12" s="3">
        <f>IF(AND(Plan!$G12&lt;=AM$4,Plan!$J12&gt;=AM$4),Plan!$B12,"")</f>
        <v/>
      </c>
      <c r="AN12" s="3">
        <f>IF(AND(Plan!$G12&lt;=AN$4,Plan!$J12&gt;=AN$4),Plan!$B12,"")</f>
        <v/>
      </c>
      <c r="AO12" s="3">
        <f>IF(AND(Plan!$G12&lt;=AO$4,Plan!$J12&gt;=AO$4),Plan!$B12,"")</f>
        <v/>
      </c>
      <c r="AP12" s="3">
        <f>IF(AND(Plan!$G12&lt;=AP$4,Plan!$J12&gt;=AP$4),Plan!$B12,"")</f>
        <v/>
      </c>
      <c r="AQ12" s="3">
        <f>IF(AND(Plan!$G12&lt;=AQ$4,Plan!$J12&gt;=AQ$4),Plan!$B12,"")</f>
        <v/>
      </c>
      <c r="AR12" s="3">
        <f>IF(AND(Plan!$G12&lt;=AR$4,Plan!$J12&gt;=AR$4),Plan!$B12,"")</f>
        <v/>
      </c>
    </row>
    <row r="13">
      <c r="A13" s="3">
        <f>Plan!$B13</f>
        <v/>
      </c>
      <c r="B13" s="3">
        <f>IF(AND(Plan!$G13&lt;=B$4,Plan!$J13&gt;=B$4),Plan!$B13,"")</f>
        <v/>
      </c>
      <c r="C13" s="3">
        <f>IF(AND(Plan!$G13&lt;=C$4,Plan!$J13&gt;=C$4),Plan!$B13,"")</f>
        <v/>
      </c>
      <c r="D13" s="3">
        <f>IF(AND(Plan!$G13&lt;=D$4,Plan!$J13&gt;=D$4),Plan!$B13,"")</f>
        <v/>
      </c>
      <c r="E13" s="3">
        <f>IF(AND(Plan!$G13&lt;=E$4,Plan!$J13&gt;=E$4),Plan!$B13,"")</f>
        <v/>
      </c>
      <c r="F13" s="3">
        <f>IF(AND(Plan!$G13&lt;=F$4,Plan!$J13&gt;=F$4),Plan!$B13,"")</f>
        <v/>
      </c>
      <c r="G13" s="3">
        <f>IF(AND(Plan!$G13&lt;=G$4,Plan!$J13&gt;=G$4),Plan!$B13,"")</f>
        <v/>
      </c>
      <c r="H13" s="3">
        <f>IF(AND(Plan!$G13&lt;=H$4,Plan!$J13&gt;=H$4),Plan!$B13,"")</f>
        <v/>
      </c>
      <c r="I13" s="3">
        <f>IF(AND(Plan!$G13&lt;=I$4,Plan!$J13&gt;=I$4),Plan!$B13,"")</f>
        <v/>
      </c>
      <c r="J13" s="3">
        <f>IF(AND(Plan!$G13&lt;=J$4,Plan!$J13&gt;=J$4),Plan!$B13,"")</f>
        <v/>
      </c>
      <c r="K13" s="3">
        <f>IF(AND(Plan!$G13&lt;=K$4,Plan!$J13&gt;=K$4),Plan!$B13,"")</f>
        <v/>
      </c>
      <c r="L13" s="3">
        <f>IF(AND(Plan!$G13&lt;=L$4,Plan!$J13&gt;=L$4),Plan!$B13,"")</f>
        <v/>
      </c>
      <c r="M13" s="3">
        <f>IF(AND(Plan!$G13&lt;=M$4,Plan!$J13&gt;=M$4),Plan!$B13,"")</f>
        <v/>
      </c>
      <c r="N13" s="3">
        <f>IF(AND(Plan!$G13&lt;=N$4,Plan!$J13&gt;=N$4),Plan!$B13,"")</f>
        <v/>
      </c>
      <c r="O13" s="3">
        <f>IF(AND(Plan!$G13&lt;=O$4,Plan!$J13&gt;=O$4),Plan!$B13,"")</f>
        <v/>
      </c>
      <c r="P13" s="3">
        <f>IF(AND(Plan!$G13&lt;=P$4,Plan!$J13&gt;=P$4),Plan!$B13,"")</f>
        <v/>
      </c>
      <c r="Q13" s="3">
        <f>IF(AND(Plan!$G13&lt;=Q$4,Plan!$J13&gt;=Q$4),Plan!$B13,"")</f>
        <v/>
      </c>
      <c r="R13" s="3">
        <f>IF(AND(Plan!$G13&lt;=R$4,Plan!$J13&gt;=R$4),Plan!$B13,"")</f>
        <v/>
      </c>
      <c r="S13" s="3">
        <f>IF(AND(Plan!$G13&lt;=S$4,Plan!$J13&gt;=S$4),Plan!$B13,"")</f>
        <v/>
      </c>
      <c r="T13" s="3">
        <f>IF(AND(Plan!$G13&lt;=T$4,Plan!$J13&gt;=T$4),Plan!$B13,"")</f>
        <v/>
      </c>
      <c r="U13" s="3">
        <f>IF(AND(Plan!$G13&lt;=U$4,Plan!$J13&gt;=U$4),Plan!$B13,"")</f>
        <v/>
      </c>
      <c r="V13" s="3">
        <f>IF(AND(Plan!$G13&lt;=V$4,Plan!$J13&gt;=V$4),Plan!$B13,"")</f>
        <v/>
      </c>
      <c r="W13" s="3">
        <f>IF(AND(Plan!$G13&lt;=W$4,Plan!$J13&gt;=W$4),Plan!$B13,"")</f>
        <v/>
      </c>
      <c r="X13" s="3">
        <f>IF(AND(Plan!$G13&lt;=X$4,Plan!$J13&gt;=X$4),Plan!$B13,"")</f>
        <v/>
      </c>
      <c r="Y13" s="3">
        <f>IF(AND(Plan!$G13&lt;=Y$4,Plan!$J13&gt;=Y$4),Plan!$B13,"")</f>
        <v/>
      </c>
      <c r="Z13" s="3">
        <f>IF(AND(Plan!$G13&lt;=Z$4,Plan!$J13&gt;=Z$4),Plan!$B13,"")</f>
        <v/>
      </c>
      <c r="AA13" s="3">
        <f>IF(AND(Plan!$G13&lt;=AA$4,Plan!$J13&gt;=AA$4),Plan!$B13,"")</f>
        <v/>
      </c>
      <c r="AB13" s="3">
        <f>IF(AND(Plan!$G13&lt;=AB$4,Plan!$J13&gt;=AB$4),Plan!$B13,"")</f>
        <v/>
      </c>
      <c r="AC13" s="3">
        <f>IF(AND(Plan!$G13&lt;=AC$4,Plan!$J13&gt;=AC$4),Plan!$B13,"")</f>
        <v/>
      </c>
      <c r="AD13" s="3">
        <f>IF(AND(Plan!$G13&lt;=AD$4,Plan!$J13&gt;=AD$4),Plan!$B13,"")</f>
        <v/>
      </c>
      <c r="AE13" s="3">
        <f>IF(AND(Plan!$G13&lt;=AE$4,Plan!$J13&gt;=AE$4),Plan!$B13,"")</f>
        <v/>
      </c>
      <c r="AF13" s="3">
        <f>IF(AND(Plan!$G13&lt;=AF$4,Plan!$J13&gt;=AF$4),Plan!$B13,"")</f>
        <v/>
      </c>
      <c r="AG13" s="3">
        <f>IF(AND(Plan!$G13&lt;=AG$4,Plan!$J13&gt;=AG$4),Plan!$B13,"")</f>
        <v/>
      </c>
      <c r="AH13" s="3">
        <f>IF(AND(Plan!$G13&lt;=AH$4,Plan!$J13&gt;=AH$4),Plan!$B13,"")</f>
        <v/>
      </c>
      <c r="AI13" s="3">
        <f>IF(AND(Plan!$G13&lt;=AI$4,Plan!$J13&gt;=AI$4),Plan!$B13,"")</f>
        <v/>
      </c>
      <c r="AJ13" s="3">
        <f>IF(AND(Plan!$G13&lt;=AJ$4,Plan!$J13&gt;=AJ$4),Plan!$B13,"")</f>
        <v/>
      </c>
      <c r="AK13" s="3">
        <f>IF(AND(Plan!$G13&lt;=AK$4,Plan!$J13&gt;=AK$4),Plan!$B13,"")</f>
        <v/>
      </c>
      <c r="AL13" s="3">
        <f>IF(AND(Plan!$G13&lt;=AL$4,Plan!$J13&gt;=AL$4),Plan!$B13,"")</f>
        <v/>
      </c>
      <c r="AM13" s="3">
        <f>IF(AND(Plan!$G13&lt;=AM$4,Plan!$J13&gt;=AM$4),Plan!$B13,"")</f>
        <v/>
      </c>
      <c r="AN13" s="3">
        <f>IF(AND(Plan!$G13&lt;=AN$4,Plan!$J13&gt;=AN$4),Plan!$B13,"")</f>
        <v/>
      </c>
      <c r="AO13" s="3">
        <f>IF(AND(Plan!$G13&lt;=AO$4,Plan!$J13&gt;=AO$4),Plan!$B13,"")</f>
        <v/>
      </c>
      <c r="AP13" s="3">
        <f>IF(AND(Plan!$G13&lt;=AP$4,Plan!$J13&gt;=AP$4),Plan!$B13,"")</f>
        <v/>
      </c>
      <c r="AQ13" s="3">
        <f>IF(AND(Plan!$G13&lt;=AQ$4,Plan!$J13&gt;=AQ$4),Plan!$B13,"")</f>
        <v/>
      </c>
      <c r="AR13" s="3">
        <f>IF(AND(Plan!$G13&lt;=AR$4,Plan!$J13&gt;=AR$4),Plan!$B13,"")</f>
        <v/>
      </c>
    </row>
    <row r="14">
      <c r="A14" s="3">
        <f>Plan!$B14</f>
        <v/>
      </c>
      <c r="B14" s="3">
        <f>IF(AND(Plan!$G14&lt;=B$4,Plan!$J14&gt;=B$4),Plan!$B14,"")</f>
        <v/>
      </c>
      <c r="C14" s="3">
        <f>IF(AND(Plan!$G14&lt;=C$4,Plan!$J14&gt;=C$4),Plan!$B14,"")</f>
        <v/>
      </c>
      <c r="D14" s="3">
        <f>IF(AND(Plan!$G14&lt;=D$4,Plan!$J14&gt;=D$4),Plan!$B14,"")</f>
        <v/>
      </c>
      <c r="E14" s="3">
        <f>IF(AND(Plan!$G14&lt;=E$4,Plan!$J14&gt;=E$4),Plan!$B14,"")</f>
        <v/>
      </c>
      <c r="F14" s="3">
        <f>IF(AND(Plan!$G14&lt;=F$4,Plan!$J14&gt;=F$4),Plan!$B14,"")</f>
        <v/>
      </c>
      <c r="G14" s="3">
        <f>IF(AND(Plan!$G14&lt;=G$4,Plan!$J14&gt;=G$4),Plan!$B14,"")</f>
        <v/>
      </c>
      <c r="H14" s="3">
        <f>IF(AND(Plan!$G14&lt;=H$4,Plan!$J14&gt;=H$4),Plan!$B14,"")</f>
        <v/>
      </c>
      <c r="I14" s="3">
        <f>IF(AND(Plan!$G14&lt;=I$4,Plan!$J14&gt;=I$4),Plan!$B14,"")</f>
        <v/>
      </c>
      <c r="J14" s="3">
        <f>IF(AND(Plan!$G14&lt;=J$4,Plan!$J14&gt;=J$4),Plan!$B14,"")</f>
        <v/>
      </c>
      <c r="K14" s="3">
        <f>IF(AND(Plan!$G14&lt;=K$4,Plan!$J14&gt;=K$4),Plan!$B14,"")</f>
        <v/>
      </c>
      <c r="L14" s="3">
        <f>IF(AND(Plan!$G14&lt;=L$4,Plan!$J14&gt;=L$4),Plan!$B14,"")</f>
        <v/>
      </c>
      <c r="M14" s="3">
        <f>IF(AND(Plan!$G14&lt;=M$4,Plan!$J14&gt;=M$4),Plan!$B14,"")</f>
        <v/>
      </c>
      <c r="N14" s="3">
        <f>IF(AND(Plan!$G14&lt;=N$4,Plan!$J14&gt;=N$4),Plan!$B14,"")</f>
        <v/>
      </c>
      <c r="O14" s="3">
        <f>IF(AND(Plan!$G14&lt;=O$4,Plan!$J14&gt;=O$4),Plan!$B14,"")</f>
        <v/>
      </c>
      <c r="P14" s="3">
        <f>IF(AND(Plan!$G14&lt;=P$4,Plan!$J14&gt;=P$4),Plan!$B14,"")</f>
        <v/>
      </c>
      <c r="Q14" s="3">
        <f>IF(AND(Plan!$G14&lt;=Q$4,Plan!$J14&gt;=Q$4),Plan!$B14,"")</f>
        <v/>
      </c>
      <c r="R14" s="3">
        <f>IF(AND(Plan!$G14&lt;=R$4,Plan!$J14&gt;=R$4),Plan!$B14,"")</f>
        <v/>
      </c>
      <c r="S14" s="3">
        <f>IF(AND(Plan!$G14&lt;=S$4,Plan!$J14&gt;=S$4),Plan!$B14,"")</f>
        <v/>
      </c>
      <c r="T14" s="3">
        <f>IF(AND(Plan!$G14&lt;=T$4,Plan!$J14&gt;=T$4),Plan!$B14,"")</f>
        <v/>
      </c>
      <c r="U14" s="3">
        <f>IF(AND(Plan!$G14&lt;=U$4,Plan!$J14&gt;=U$4),Plan!$B14,"")</f>
        <v/>
      </c>
      <c r="V14" s="3">
        <f>IF(AND(Plan!$G14&lt;=V$4,Plan!$J14&gt;=V$4),Plan!$B14,"")</f>
        <v/>
      </c>
      <c r="W14" s="3">
        <f>IF(AND(Plan!$G14&lt;=W$4,Plan!$J14&gt;=W$4),Plan!$B14,"")</f>
        <v/>
      </c>
      <c r="X14" s="3">
        <f>IF(AND(Plan!$G14&lt;=X$4,Plan!$J14&gt;=X$4),Plan!$B14,"")</f>
        <v/>
      </c>
      <c r="Y14" s="3">
        <f>IF(AND(Plan!$G14&lt;=Y$4,Plan!$J14&gt;=Y$4),Plan!$B14,"")</f>
        <v/>
      </c>
      <c r="Z14" s="3">
        <f>IF(AND(Plan!$G14&lt;=Z$4,Plan!$J14&gt;=Z$4),Plan!$B14,"")</f>
        <v/>
      </c>
      <c r="AA14" s="3">
        <f>IF(AND(Plan!$G14&lt;=AA$4,Plan!$J14&gt;=AA$4),Plan!$B14,"")</f>
        <v/>
      </c>
      <c r="AB14" s="3">
        <f>IF(AND(Plan!$G14&lt;=AB$4,Plan!$J14&gt;=AB$4),Plan!$B14,"")</f>
        <v/>
      </c>
      <c r="AC14" s="3">
        <f>IF(AND(Plan!$G14&lt;=AC$4,Plan!$J14&gt;=AC$4),Plan!$B14,"")</f>
        <v/>
      </c>
      <c r="AD14" s="3">
        <f>IF(AND(Plan!$G14&lt;=AD$4,Plan!$J14&gt;=AD$4),Plan!$B14,"")</f>
        <v/>
      </c>
      <c r="AE14" s="3">
        <f>IF(AND(Plan!$G14&lt;=AE$4,Plan!$J14&gt;=AE$4),Plan!$B14,"")</f>
        <v/>
      </c>
      <c r="AF14" s="3">
        <f>IF(AND(Plan!$G14&lt;=AF$4,Plan!$J14&gt;=AF$4),Plan!$B14,"")</f>
        <v/>
      </c>
      <c r="AG14" s="3">
        <f>IF(AND(Plan!$G14&lt;=AG$4,Plan!$J14&gt;=AG$4),Plan!$B14,"")</f>
        <v/>
      </c>
      <c r="AH14" s="3">
        <f>IF(AND(Plan!$G14&lt;=AH$4,Plan!$J14&gt;=AH$4),Plan!$B14,"")</f>
        <v/>
      </c>
      <c r="AI14" s="3">
        <f>IF(AND(Plan!$G14&lt;=AI$4,Plan!$J14&gt;=AI$4),Plan!$B14,"")</f>
        <v/>
      </c>
      <c r="AJ14" s="3">
        <f>IF(AND(Plan!$G14&lt;=AJ$4,Plan!$J14&gt;=AJ$4),Plan!$B14,"")</f>
        <v/>
      </c>
      <c r="AK14" s="3">
        <f>IF(AND(Plan!$G14&lt;=AK$4,Plan!$J14&gt;=AK$4),Plan!$B14,"")</f>
        <v/>
      </c>
      <c r="AL14" s="3">
        <f>IF(AND(Plan!$G14&lt;=AL$4,Plan!$J14&gt;=AL$4),Plan!$B14,"")</f>
        <v/>
      </c>
      <c r="AM14" s="3">
        <f>IF(AND(Plan!$G14&lt;=AM$4,Plan!$J14&gt;=AM$4),Plan!$B14,"")</f>
        <v/>
      </c>
      <c r="AN14" s="3">
        <f>IF(AND(Plan!$G14&lt;=AN$4,Plan!$J14&gt;=AN$4),Plan!$B14,"")</f>
        <v/>
      </c>
      <c r="AO14" s="3">
        <f>IF(AND(Plan!$G14&lt;=AO$4,Plan!$J14&gt;=AO$4),Plan!$B14,"")</f>
        <v/>
      </c>
      <c r="AP14" s="3">
        <f>IF(AND(Plan!$G14&lt;=AP$4,Plan!$J14&gt;=AP$4),Plan!$B14,"")</f>
        <v/>
      </c>
      <c r="AQ14" s="3">
        <f>IF(AND(Plan!$G14&lt;=AQ$4,Plan!$J14&gt;=AQ$4),Plan!$B14,"")</f>
        <v/>
      </c>
      <c r="AR14" s="3">
        <f>IF(AND(Plan!$G14&lt;=AR$4,Plan!$J14&gt;=AR$4),Plan!$B14,"")</f>
        <v/>
      </c>
    </row>
    <row r="15">
      <c r="A15" s="3">
        <f>Plan!$B15</f>
        <v/>
      </c>
      <c r="B15" s="3">
        <f>IF(AND(Plan!$G15&lt;=B$4,Plan!$J15&gt;=B$4),Plan!$B15,"")</f>
        <v/>
      </c>
      <c r="C15" s="3">
        <f>IF(AND(Plan!$G15&lt;=C$4,Plan!$J15&gt;=C$4),Plan!$B15,"")</f>
        <v/>
      </c>
      <c r="D15" s="3">
        <f>IF(AND(Plan!$G15&lt;=D$4,Plan!$J15&gt;=D$4),Plan!$B15,"")</f>
        <v/>
      </c>
      <c r="E15" s="3">
        <f>IF(AND(Plan!$G15&lt;=E$4,Plan!$J15&gt;=E$4),Plan!$B15,"")</f>
        <v/>
      </c>
      <c r="F15" s="3">
        <f>IF(AND(Plan!$G15&lt;=F$4,Plan!$J15&gt;=F$4),Plan!$B15,"")</f>
        <v/>
      </c>
      <c r="G15" s="3">
        <f>IF(AND(Plan!$G15&lt;=G$4,Plan!$J15&gt;=G$4),Plan!$B15,"")</f>
        <v/>
      </c>
      <c r="H15" s="3">
        <f>IF(AND(Plan!$G15&lt;=H$4,Plan!$J15&gt;=H$4),Plan!$B15,"")</f>
        <v/>
      </c>
      <c r="I15" s="3">
        <f>IF(AND(Plan!$G15&lt;=I$4,Plan!$J15&gt;=I$4),Plan!$B15,"")</f>
        <v/>
      </c>
      <c r="J15" s="3">
        <f>IF(AND(Plan!$G15&lt;=J$4,Plan!$J15&gt;=J$4),Plan!$B15,"")</f>
        <v/>
      </c>
      <c r="K15" s="3">
        <f>IF(AND(Plan!$G15&lt;=K$4,Plan!$J15&gt;=K$4),Plan!$B15,"")</f>
        <v/>
      </c>
      <c r="L15" s="3">
        <f>IF(AND(Plan!$G15&lt;=L$4,Plan!$J15&gt;=L$4),Plan!$B15,"")</f>
        <v/>
      </c>
      <c r="M15" s="3">
        <f>IF(AND(Plan!$G15&lt;=M$4,Plan!$J15&gt;=M$4),Plan!$B15,"")</f>
        <v/>
      </c>
      <c r="N15" s="3">
        <f>IF(AND(Plan!$G15&lt;=N$4,Plan!$J15&gt;=N$4),Plan!$B15,"")</f>
        <v/>
      </c>
      <c r="O15" s="3">
        <f>IF(AND(Plan!$G15&lt;=O$4,Plan!$J15&gt;=O$4),Plan!$B15,"")</f>
        <v/>
      </c>
      <c r="P15" s="3">
        <f>IF(AND(Plan!$G15&lt;=P$4,Plan!$J15&gt;=P$4),Plan!$B15,"")</f>
        <v/>
      </c>
      <c r="Q15" s="3">
        <f>IF(AND(Plan!$G15&lt;=Q$4,Plan!$J15&gt;=Q$4),Plan!$B15,"")</f>
        <v/>
      </c>
      <c r="R15" s="3">
        <f>IF(AND(Plan!$G15&lt;=R$4,Plan!$J15&gt;=R$4),Plan!$B15,"")</f>
        <v/>
      </c>
      <c r="S15" s="3">
        <f>IF(AND(Plan!$G15&lt;=S$4,Plan!$J15&gt;=S$4),Plan!$B15,"")</f>
        <v/>
      </c>
      <c r="T15" s="3">
        <f>IF(AND(Plan!$G15&lt;=T$4,Plan!$J15&gt;=T$4),Plan!$B15,"")</f>
        <v/>
      </c>
      <c r="U15" s="3">
        <f>IF(AND(Plan!$G15&lt;=U$4,Plan!$J15&gt;=U$4),Plan!$B15,"")</f>
        <v/>
      </c>
      <c r="V15" s="3">
        <f>IF(AND(Plan!$G15&lt;=V$4,Plan!$J15&gt;=V$4),Plan!$B15,"")</f>
        <v/>
      </c>
      <c r="W15" s="3">
        <f>IF(AND(Plan!$G15&lt;=W$4,Plan!$J15&gt;=W$4),Plan!$B15,"")</f>
        <v/>
      </c>
      <c r="X15" s="3">
        <f>IF(AND(Plan!$G15&lt;=X$4,Plan!$J15&gt;=X$4),Plan!$B15,"")</f>
        <v/>
      </c>
      <c r="Y15" s="3">
        <f>IF(AND(Plan!$G15&lt;=Y$4,Plan!$J15&gt;=Y$4),Plan!$B15,"")</f>
        <v/>
      </c>
      <c r="Z15" s="3">
        <f>IF(AND(Plan!$G15&lt;=Z$4,Plan!$J15&gt;=Z$4),Plan!$B15,"")</f>
        <v/>
      </c>
      <c r="AA15" s="3">
        <f>IF(AND(Plan!$G15&lt;=AA$4,Plan!$J15&gt;=AA$4),Plan!$B15,"")</f>
        <v/>
      </c>
      <c r="AB15" s="3">
        <f>IF(AND(Plan!$G15&lt;=AB$4,Plan!$J15&gt;=AB$4),Plan!$B15,"")</f>
        <v/>
      </c>
      <c r="AC15" s="3">
        <f>IF(AND(Plan!$G15&lt;=AC$4,Plan!$J15&gt;=AC$4),Plan!$B15,"")</f>
        <v/>
      </c>
      <c r="AD15" s="3">
        <f>IF(AND(Plan!$G15&lt;=AD$4,Plan!$J15&gt;=AD$4),Plan!$B15,"")</f>
        <v/>
      </c>
      <c r="AE15" s="3">
        <f>IF(AND(Plan!$G15&lt;=AE$4,Plan!$J15&gt;=AE$4),Plan!$B15,"")</f>
        <v/>
      </c>
      <c r="AF15" s="3">
        <f>IF(AND(Plan!$G15&lt;=AF$4,Plan!$J15&gt;=AF$4),Plan!$B15,"")</f>
        <v/>
      </c>
      <c r="AG15" s="3">
        <f>IF(AND(Plan!$G15&lt;=AG$4,Plan!$J15&gt;=AG$4),Plan!$B15,"")</f>
        <v/>
      </c>
      <c r="AH15" s="3">
        <f>IF(AND(Plan!$G15&lt;=AH$4,Plan!$J15&gt;=AH$4),Plan!$B15,"")</f>
        <v/>
      </c>
      <c r="AI15" s="3">
        <f>IF(AND(Plan!$G15&lt;=AI$4,Plan!$J15&gt;=AI$4),Plan!$B15,"")</f>
        <v/>
      </c>
      <c r="AJ15" s="3">
        <f>IF(AND(Plan!$G15&lt;=AJ$4,Plan!$J15&gt;=AJ$4),Plan!$B15,"")</f>
        <v/>
      </c>
      <c r="AK15" s="3">
        <f>IF(AND(Plan!$G15&lt;=AK$4,Plan!$J15&gt;=AK$4),Plan!$B15,"")</f>
        <v/>
      </c>
      <c r="AL15" s="3">
        <f>IF(AND(Plan!$G15&lt;=AL$4,Plan!$J15&gt;=AL$4),Plan!$B15,"")</f>
        <v/>
      </c>
      <c r="AM15" s="3">
        <f>IF(AND(Plan!$G15&lt;=AM$4,Plan!$J15&gt;=AM$4),Plan!$B15,"")</f>
        <v/>
      </c>
      <c r="AN15" s="3">
        <f>IF(AND(Plan!$G15&lt;=AN$4,Plan!$J15&gt;=AN$4),Plan!$B15,"")</f>
        <v/>
      </c>
      <c r="AO15" s="3">
        <f>IF(AND(Plan!$G15&lt;=AO$4,Plan!$J15&gt;=AO$4),Plan!$B15,"")</f>
        <v/>
      </c>
      <c r="AP15" s="3">
        <f>IF(AND(Plan!$G15&lt;=AP$4,Plan!$J15&gt;=AP$4),Plan!$B15,"")</f>
        <v/>
      </c>
      <c r="AQ15" s="3">
        <f>IF(AND(Plan!$G15&lt;=AQ$4,Plan!$J15&gt;=AQ$4),Plan!$B15,"")</f>
        <v/>
      </c>
      <c r="AR15" s="3">
        <f>IF(AND(Plan!$G15&lt;=AR$4,Plan!$J15&gt;=AR$4),Plan!$B15,"")</f>
        <v/>
      </c>
    </row>
    <row r="16">
      <c r="A16" s="3">
        <f>Plan!$B16</f>
        <v/>
      </c>
      <c r="B16" s="3">
        <f>IF(AND(Plan!$G16&lt;=B$4,Plan!$J16&gt;=B$4),Plan!$B16,"")</f>
        <v/>
      </c>
      <c r="C16" s="3">
        <f>IF(AND(Plan!$G16&lt;=C$4,Plan!$J16&gt;=C$4),Plan!$B16,"")</f>
        <v/>
      </c>
      <c r="D16" s="3">
        <f>IF(AND(Plan!$G16&lt;=D$4,Plan!$J16&gt;=D$4),Plan!$B16,"")</f>
        <v/>
      </c>
      <c r="E16" s="3">
        <f>IF(AND(Plan!$G16&lt;=E$4,Plan!$J16&gt;=E$4),Plan!$B16,"")</f>
        <v/>
      </c>
      <c r="F16" s="3">
        <f>IF(AND(Plan!$G16&lt;=F$4,Plan!$J16&gt;=F$4),Plan!$B16,"")</f>
        <v/>
      </c>
      <c r="G16" s="3">
        <f>IF(AND(Plan!$G16&lt;=G$4,Plan!$J16&gt;=G$4),Plan!$B16,"")</f>
        <v/>
      </c>
      <c r="H16" s="3">
        <f>IF(AND(Plan!$G16&lt;=H$4,Plan!$J16&gt;=H$4),Plan!$B16,"")</f>
        <v/>
      </c>
      <c r="I16" s="3">
        <f>IF(AND(Plan!$G16&lt;=I$4,Plan!$J16&gt;=I$4),Plan!$B16,"")</f>
        <v/>
      </c>
      <c r="J16" s="3">
        <f>IF(AND(Plan!$G16&lt;=J$4,Plan!$J16&gt;=J$4),Plan!$B16,"")</f>
        <v/>
      </c>
      <c r="K16" s="3">
        <f>IF(AND(Plan!$G16&lt;=K$4,Plan!$J16&gt;=K$4),Plan!$B16,"")</f>
        <v/>
      </c>
      <c r="L16" s="3">
        <f>IF(AND(Plan!$G16&lt;=L$4,Plan!$J16&gt;=L$4),Plan!$B16,"")</f>
        <v/>
      </c>
      <c r="M16" s="3">
        <f>IF(AND(Plan!$G16&lt;=M$4,Plan!$J16&gt;=M$4),Plan!$B16,"")</f>
        <v/>
      </c>
      <c r="N16" s="3">
        <f>IF(AND(Plan!$G16&lt;=N$4,Plan!$J16&gt;=N$4),Plan!$B16,"")</f>
        <v/>
      </c>
      <c r="O16" s="3">
        <f>IF(AND(Plan!$G16&lt;=O$4,Plan!$J16&gt;=O$4),Plan!$B16,"")</f>
        <v/>
      </c>
      <c r="P16" s="3">
        <f>IF(AND(Plan!$G16&lt;=P$4,Plan!$J16&gt;=P$4),Plan!$B16,"")</f>
        <v/>
      </c>
      <c r="Q16" s="3">
        <f>IF(AND(Plan!$G16&lt;=Q$4,Plan!$J16&gt;=Q$4),Plan!$B16,"")</f>
        <v/>
      </c>
      <c r="R16" s="3">
        <f>IF(AND(Plan!$G16&lt;=R$4,Plan!$J16&gt;=R$4),Plan!$B16,"")</f>
        <v/>
      </c>
      <c r="S16" s="3">
        <f>IF(AND(Plan!$G16&lt;=S$4,Plan!$J16&gt;=S$4),Plan!$B16,"")</f>
        <v/>
      </c>
      <c r="T16" s="3">
        <f>IF(AND(Plan!$G16&lt;=T$4,Plan!$J16&gt;=T$4),Plan!$B16,"")</f>
        <v/>
      </c>
      <c r="U16" s="3">
        <f>IF(AND(Plan!$G16&lt;=U$4,Plan!$J16&gt;=U$4),Plan!$B16,"")</f>
        <v/>
      </c>
      <c r="V16" s="3">
        <f>IF(AND(Plan!$G16&lt;=V$4,Plan!$J16&gt;=V$4),Plan!$B16,"")</f>
        <v/>
      </c>
      <c r="W16" s="3">
        <f>IF(AND(Plan!$G16&lt;=W$4,Plan!$J16&gt;=W$4),Plan!$B16,"")</f>
        <v/>
      </c>
      <c r="X16" s="3">
        <f>IF(AND(Plan!$G16&lt;=X$4,Plan!$J16&gt;=X$4),Plan!$B16,"")</f>
        <v/>
      </c>
      <c r="Y16" s="3">
        <f>IF(AND(Plan!$G16&lt;=Y$4,Plan!$J16&gt;=Y$4),Plan!$B16,"")</f>
        <v/>
      </c>
      <c r="Z16" s="3">
        <f>IF(AND(Plan!$G16&lt;=Z$4,Plan!$J16&gt;=Z$4),Plan!$B16,"")</f>
        <v/>
      </c>
      <c r="AA16" s="3">
        <f>IF(AND(Plan!$G16&lt;=AA$4,Plan!$J16&gt;=AA$4),Plan!$B16,"")</f>
        <v/>
      </c>
      <c r="AB16" s="3">
        <f>IF(AND(Plan!$G16&lt;=AB$4,Plan!$J16&gt;=AB$4),Plan!$B16,"")</f>
        <v/>
      </c>
      <c r="AC16" s="3">
        <f>IF(AND(Plan!$G16&lt;=AC$4,Plan!$J16&gt;=AC$4),Plan!$B16,"")</f>
        <v/>
      </c>
      <c r="AD16" s="3">
        <f>IF(AND(Plan!$G16&lt;=AD$4,Plan!$J16&gt;=AD$4),Plan!$B16,"")</f>
        <v/>
      </c>
      <c r="AE16" s="3">
        <f>IF(AND(Plan!$G16&lt;=AE$4,Plan!$J16&gt;=AE$4),Plan!$B16,"")</f>
        <v/>
      </c>
      <c r="AF16" s="3">
        <f>IF(AND(Plan!$G16&lt;=AF$4,Plan!$J16&gt;=AF$4),Plan!$B16,"")</f>
        <v/>
      </c>
      <c r="AG16" s="3">
        <f>IF(AND(Plan!$G16&lt;=AG$4,Plan!$J16&gt;=AG$4),Plan!$B16,"")</f>
        <v/>
      </c>
      <c r="AH16" s="3">
        <f>IF(AND(Plan!$G16&lt;=AH$4,Plan!$J16&gt;=AH$4),Plan!$B16,"")</f>
        <v/>
      </c>
      <c r="AI16" s="3">
        <f>IF(AND(Plan!$G16&lt;=AI$4,Plan!$J16&gt;=AI$4),Plan!$B16,"")</f>
        <v/>
      </c>
      <c r="AJ16" s="3">
        <f>IF(AND(Plan!$G16&lt;=AJ$4,Plan!$J16&gt;=AJ$4),Plan!$B16,"")</f>
        <v/>
      </c>
      <c r="AK16" s="3">
        <f>IF(AND(Plan!$G16&lt;=AK$4,Plan!$J16&gt;=AK$4),Plan!$B16,"")</f>
        <v/>
      </c>
      <c r="AL16" s="3">
        <f>IF(AND(Plan!$G16&lt;=AL$4,Plan!$J16&gt;=AL$4),Plan!$B16,"")</f>
        <v/>
      </c>
      <c r="AM16" s="3">
        <f>IF(AND(Plan!$G16&lt;=AM$4,Plan!$J16&gt;=AM$4),Plan!$B16,"")</f>
        <v/>
      </c>
      <c r="AN16" s="3">
        <f>IF(AND(Plan!$G16&lt;=AN$4,Plan!$J16&gt;=AN$4),Plan!$B16,"")</f>
        <v/>
      </c>
      <c r="AO16" s="3">
        <f>IF(AND(Plan!$G16&lt;=AO$4,Plan!$J16&gt;=AO$4),Plan!$B16,"")</f>
        <v/>
      </c>
      <c r="AP16" s="3">
        <f>IF(AND(Plan!$G16&lt;=AP$4,Plan!$J16&gt;=AP$4),Plan!$B16,"")</f>
        <v/>
      </c>
      <c r="AQ16" s="3">
        <f>IF(AND(Plan!$G16&lt;=AQ$4,Plan!$J16&gt;=AQ$4),Plan!$B16,"")</f>
        <v/>
      </c>
      <c r="AR16" s="3">
        <f>IF(AND(Plan!$G16&lt;=AR$4,Plan!$J16&gt;=AR$4),Plan!$B16,"")</f>
        <v/>
      </c>
    </row>
    <row r="17">
      <c r="A17" s="3">
        <f>Plan!$B17</f>
        <v/>
      </c>
      <c r="B17" s="3">
        <f>IF(AND(Plan!$G17&lt;=B$4,Plan!$J17&gt;=B$4),Plan!$B17,"")</f>
        <v/>
      </c>
      <c r="C17" s="3">
        <f>IF(AND(Plan!$G17&lt;=C$4,Plan!$J17&gt;=C$4),Plan!$B17,"")</f>
        <v/>
      </c>
      <c r="D17" s="3">
        <f>IF(AND(Plan!$G17&lt;=D$4,Plan!$J17&gt;=D$4),Plan!$B17,"")</f>
        <v/>
      </c>
      <c r="E17" s="3">
        <f>IF(AND(Plan!$G17&lt;=E$4,Plan!$J17&gt;=E$4),Plan!$B17,"")</f>
        <v/>
      </c>
      <c r="F17" s="3">
        <f>IF(AND(Plan!$G17&lt;=F$4,Plan!$J17&gt;=F$4),Plan!$B17,"")</f>
        <v/>
      </c>
      <c r="G17" s="3">
        <f>IF(AND(Plan!$G17&lt;=G$4,Plan!$J17&gt;=G$4),Plan!$B17,"")</f>
        <v/>
      </c>
      <c r="H17" s="3">
        <f>IF(AND(Plan!$G17&lt;=H$4,Plan!$J17&gt;=H$4),Plan!$B17,"")</f>
        <v/>
      </c>
      <c r="I17" s="3">
        <f>IF(AND(Plan!$G17&lt;=I$4,Plan!$J17&gt;=I$4),Plan!$B17,"")</f>
        <v/>
      </c>
      <c r="J17" s="3">
        <f>IF(AND(Plan!$G17&lt;=J$4,Plan!$J17&gt;=J$4),Plan!$B17,"")</f>
        <v/>
      </c>
      <c r="K17" s="3">
        <f>IF(AND(Plan!$G17&lt;=K$4,Plan!$J17&gt;=K$4),Plan!$B17,"")</f>
        <v/>
      </c>
      <c r="L17" s="3">
        <f>IF(AND(Plan!$G17&lt;=L$4,Plan!$J17&gt;=L$4),Plan!$B17,"")</f>
        <v/>
      </c>
      <c r="M17" s="3">
        <f>IF(AND(Plan!$G17&lt;=M$4,Plan!$J17&gt;=M$4),Plan!$B17,"")</f>
        <v/>
      </c>
      <c r="N17" s="3">
        <f>IF(AND(Plan!$G17&lt;=N$4,Plan!$J17&gt;=N$4),Plan!$B17,"")</f>
        <v/>
      </c>
      <c r="O17" s="3">
        <f>IF(AND(Plan!$G17&lt;=O$4,Plan!$J17&gt;=O$4),Plan!$B17,"")</f>
        <v/>
      </c>
      <c r="P17" s="3">
        <f>IF(AND(Plan!$G17&lt;=P$4,Plan!$J17&gt;=P$4),Plan!$B17,"")</f>
        <v/>
      </c>
      <c r="Q17" s="3">
        <f>IF(AND(Plan!$G17&lt;=Q$4,Plan!$J17&gt;=Q$4),Plan!$B17,"")</f>
        <v/>
      </c>
      <c r="R17" s="3">
        <f>IF(AND(Plan!$G17&lt;=R$4,Plan!$J17&gt;=R$4),Plan!$B17,"")</f>
        <v/>
      </c>
      <c r="S17" s="3">
        <f>IF(AND(Plan!$G17&lt;=S$4,Plan!$J17&gt;=S$4),Plan!$B17,"")</f>
        <v/>
      </c>
      <c r="T17" s="3">
        <f>IF(AND(Plan!$G17&lt;=T$4,Plan!$J17&gt;=T$4),Plan!$B17,"")</f>
        <v/>
      </c>
      <c r="U17" s="3">
        <f>IF(AND(Plan!$G17&lt;=U$4,Plan!$J17&gt;=U$4),Plan!$B17,"")</f>
        <v/>
      </c>
      <c r="V17" s="3">
        <f>IF(AND(Plan!$G17&lt;=V$4,Plan!$J17&gt;=V$4),Plan!$B17,"")</f>
        <v/>
      </c>
      <c r="W17" s="3">
        <f>IF(AND(Plan!$G17&lt;=W$4,Plan!$J17&gt;=W$4),Plan!$B17,"")</f>
        <v/>
      </c>
      <c r="X17" s="3">
        <f>IF(AND(Plan!$G17&lt;=X$4,Plan!$J17&gt;=X$4),Plan!$B17,"")</f>
        <v/>
      </c>
      <c r="Y17" s="3">
        <f>IF(AND(Plan!$G17&lt;=Y$4,Plan!$J17&gt;=Y$4),Plan!$B17,"")</f>
        <v/>
      </c>
      <c r="Z17" s="3">
        <f>IF(AND(Plan!$G17&lt;=Z$4,Plan!$J17&gt;=Z$4),Plan!$B17,"")</f>
        <v/>
      </c>
      <c r="AA17" s="3">
        <f>IF(AND(Plan!$G17&lt;=AA$4,Plan!$J17&gt;=AA$4),Plan!$B17,"")</f>
        <v/>
      </c>
      <c r="AB17" s="3">
        <f>IF(AND(Plan!$G17&lt;=AB$4,Plan!$J17&gt;=AB$4),Plan!$B17,"")</f>
        <v/>
      </c>
      <c r="AC17" s="3">
        <f>IF(AND(Plan!$G17&lt;=AC$4,Plan!$J17&gt;=AC$4),Plan!$B17,"")</f>
        <v/>
      </c>
      <c r="AD17" s="3">
        <f>IF(AND(Plan!$G17&lt;=AD$4,Plan!$J17&gt;=AD$4),Plan!$B17,"")</f>
        <v/>
      </c>
      <c r="AE17" s="3">
        <f>IF(AND(Plan!$G17&lt;=AE$4,Plan!$J17&gt;=AE$4),Plan!$B17,"")</f>
        <v/>
      </c>
      <c r="AF17" s="3">
        <f>IF(AND(Plan!$G17&lt;=AF$4,Plan!$J17&gt;=AF$4),Plan!$B17,"")</f>
        <v/>
      </c>
      <c r="AG17" s="3">
        <f>IF(AND(Plan!$G17&lt;=AG$4,Plan!$J17&gt;=AG$4),Plan!$B17,"")</f>
        <v/>
      </c>
      <c r="AH17" s="3">
        <f>IF(AND(Plan!$G17&lt;=AH$4,Plan!$J17&gt;=AH$4),Plan!$B17,"")</f>
        <v/>
      </c>
      <c r="AI17" s="3">
        <f>IF(AND(Plan!$G17&lt;=AI$4,Plan!$J17&gt;=AI$4),Plan!$B17,"")</f>
        <v/>
      </c>
      <c r="AJ17" s="3">
        <f>IF(AND(Plan!$G17&lt;=AJ$4,Plan!$J17&gt;=AJ$4),Plan!$B17,"")</f>
        <v/>
      </c>
      <c r="AK17" s="3">
        <f>IF(AND(Plan!$G17&lt;=AK$4,Plan!$J17&gt;=AK$4),Plan!$B17,"")</f>
        <v/>
      </c>
      <c r="AL17" s="3">
        <f>IF(AND(Plan!$G17&lt;=AL$4,Plan!$J17&gt;=AL$4),Plan!$B17,"")</f>
        <v/>
      </c>
      <c r="AM17" s="3">
        <f>IF(AND(Plan!$G17&lt;=AM$4,Plan!$J17&gt;=AM$4),Plan!$B17,"")</f>
        <v/>
      </c>
      <c r="AN17" s="3">
        <f>IF(AND(Plan!$G17&lt;=AN$4,Plan!$J17&gt;=AN$4),Plan!$B17,"")</f>
        <v/>
      </c>
      <c r="AO17" s="3">
        <f>IF(AND(Plan!$G17&lt;=AO$4,Plan!$J17&gt;=AO$4),Plan!$B17,"")</f>
        <v/>
      </c>
      <c r="AP17" s="3">
        <f>IF(AND(Plan!$G17&lt;=AP$4,Plan!$J17&gt;=AP$4),Plan!$B17,"")</f>
        <v/>
      </c>
      <c r="AQ17" s="3">
        <f>IF(AND(Plan!$G17&lt;=AQ$4,Plan!$J17&gt;=AQ$4),Plan!$B17,"")</f>
        <v/>
      </c>
      <c r="AR17" s="3">
        <f>IF(AND(Plan!$G17&lt;=AR$4,Plan!$J17&gt;=AR$4),Plan!$B17,"")</f>
        <v/>
      </c>
    </row>
    <row r="18">
      <c r="A18" s="3">
        <f>Plan!$B18</f>
        <v/>
      </c>
      <c r="B18" s="3">
        <f>IF(AND(Plan!$G18&lt;=B$4,Plan!$J18&gt;=B$4),Plan!$B18,"")</f>
        <v/>
      </c>
      <c r="C18" s="3">
        <f>IF(AND(Plan!$G18&lt;=C$4,Plan!$J18&gt;=C$4),Plan!$B18,"")</f>
        <v/>
      </c>
      <c r="D18" s="3">
        <f>IF(AND(Plan!$G18&lt;=D$4,Plan!$J18&gt;=D$4),Plan!$B18,"")</f>
        <v/>
      </c>
      <c r="E18" s="3">
        <f>IF(AND(Plan!$G18&lt;=E$4,Plan!$J18&gt;=E$4),Plan!$B18,"")</f>
        <v/>
      </c>
      <c r="F18" s="3">
        <f>IF(AND(Plan!$G18&lt;=F$4,Plan!$J18&gt;=F$4),Plan!$B18,"")</f>
        <v/>
      </c>
      <c r="G18" s="3">
        <f>IF(AND(Plan!$G18&lt;=G$4,Plan!$J18&gt;=G$4),Plan!$B18,"")</f>
        <v/>
      </c>
      <c r="H18" s="3">
        <f>IF(AND(Plan!$G18&lt;=H$4,Plan!$J18&gt;=H$4),Plan!$B18,"")</f>
        <v/>
      </c>
      <c r="I18" s="3">
        <f>IF(AND(Plan!$G18&lt;=I$4,Plan!$J18&gt;=I$4),Plan!$B18,"")</f>
        <v/>
      </c>
      <c r="J18" s="3">
        <f>IF(AND(Plan!$G18&lt;=J$4,Plan!$J18&gt;=J$4),Plan!$B18,"")</f>
        <v/>
      </c>
      <c r="K18" s="3">
        <f>IF(AND(Plan!$G18&lt;=K$4,Plan!$J18&gt;=K$4),Plan!$B18,"")</f>
        <v/>
      </c>
      <c r="L18" s="3">
        <f>IF(AND(Plan!$G18&lt;=L$4,Plan!$J18&gt;=L$4),Plan!$B18,"")</f>
        <v/>
      </c>
      <c r="M18" s="3">
        <f>IF(AND(Plan!$G18&lt;=M$4,Plan!$J18&gt;=M$4),Plan!$B18,"")</f>
        <v/>
      </c>
      <c r="N18" s="3">
        <f>IF(AND(Plan!$G18&lt;=N$4,Plan!$J18&gt;=N$4),Plan!$B18,"")</f>
        <v/>
      </c>
      <c r="O18" s="3">
        <f>IF(AND(Plan!$G18&lt;=O$4,Plan!$J18&gt;=O$4),Plan!$B18,"")</f>
        <v/>
      </c>
      <c r="P18" s="3">
        <f>IF(AND(Plan!$G18&lt;=P$4,Plan!$J18&gt;=P$4),Plan!$B18,"")</f>
        <v/>
      </c>
      <c r="Q18" s="3">
        <f>IF(AND(Plan!$G18&lt;=Q$4,Plan!$J18&gt;=Q$4),Plan!$B18,"")</f>
        <v/>
      </c>
      <c r="R18" s="3">
        <f>IF(AND(Plan!$G18&lt;=R$4,Plan!$J18&gt;=R$4),Plan!$B18,"")</f>
        <v/>
      </c>
      <c r="S18" s="3">
        <f>IF(AND(Plan!$G18&lt;=S$4,Plan!$J18&gt;=S$4),Plan!$B18,"")</f>
        <v/>
      </c>
      <c r="T18" s="3">
        <f>IF(AND(Plan!$G18&lt;=T$4,Plan!$J18&gt;=T$4),Plan!$B18,"")</f>
        <v/>
      </c>
      <c r="U18" s="3">
        <f>IF(AND(Plan!$G18&lt;=U$4,Plan!$J18&gt;=U$4),Plan!$B18,"")</f>
        <v/>
      </c>
      <c r="V18" s="3">
        <f>IF(AND(Plan!$G18&lt;=V$4,Plan!$J18&gt;=V$4),Plan!$B18,"")</f>
        <v/>
      </c>
      <c r="W18" s="3">
        <f>IF(AND(Plan!$G18&lt;=W$4,Plan!$J18&gt;=W$4),Plan!$B18,"")</f>
        <v/>
      </c>
      <c r="X18" s="3">
        <f>IF(AND(Plan!$G18&lt;=X$4,Plan!$J18&gt;=X$4),Plan!$B18,"")</f>
        <v/>
      </c>
      <c r="Y18" s="3">
        <f>IF(AND(Plan!$G18&lt;=Y$4,Plan!$J18&gt;=Y$4),Plan!$B18,"")</f>
        <v/>
      </c>
      <c r="Z18" s="3">
        <f>IF(AND(Plan!$G18&lt;=Z$4,Plan!$J18&gt;=Z$4),Plan!$B18,"")</f>
        <v/>
      </c>
      <c r="AA18" s="3">
        <f>IF(AND(Plan!$G18&lt;=AA$4,Plan!$J18&gt;=AA$4),Plan!$B18,"")</f>
        <v/>
      </c>
      <c r="AB18" s="3">
        <f>IF(AND(Plan!$G18&lt;=AB$4,Plan!$J18&gt;=AB$4),Plan!$B18,"")</f>
        <v/>
      </c>
      <c r="AC18" s="3">
        <f>IF(AND(Plan!$G18&lt;=AC$4,Plan!$J18&gt;=AC$4),Plan!$B18,"")</f>
        <v/>
      </c>
      <c r="AD18" s="3">
        <f>IF(AND(Plan!$G18&lt;=AD$4,Plan!$J18&gt;=AD$4),Plan!$B18,"")</f>
        <v/>
      </c>
      <c r="AE18" s="3">
        <f>IF(AND(Plan!$G18&lt;=AE$4,Plan!$J18&gt;=AE$4),Plan!$B18,"")</f>
        <v/>
      </c>
      <c r="AF18" s="3">
        <f>IF(AND(Plan!$G18&lt;=AF$4,Plan!$J18&gt;=AF$4),Plan!$B18,"")</f>
        <v/>
      </c>
      <c r="AG18" s="3">
        <f>IF(AND(Plan!$G18&lt;=AG$4,Plan!$J18&gt;=AG$4),Plan!$B18,"")</f>
        <v/>
      </c>
      <c r="AH18" s="3">
        <f>IF(AND(Plan!$G18&lt;=AH$4,Plan!$J18&gt;=AH$4),Plan!$B18,"")</f>
        <v/>
      </c>
      <c r="AI18" s="3">
        <f>IF(AND(Plan!$G18&lt;=AI$4,Plan!$J18&gt;=AI$4),Plan!$B18,"")</f>
        <v/>
      </c>
      <c r="AJ18" s="3">
        <f>IF(AND(Plan!$G18&lt;=AJ$4,Plan!$J18&gt;=AJ$4),Plan!$B18,"")</f>
        <v/>
      </c>
      <c r="AK18" s="3">
        <f>IF(AND(Plan!$G18&lt;=AK$4,Plan!$J18&gt;=AK$4),Plan!$B18,"")</f>
        <v/>
      </c>
      <c r="AL18" s="3">
        <f>IF(AND(Plan!$G18&lt;=AL$4,Plan!$J18&gt;=AL$4),Plan!$B18,"")</f>
        <v/>
      </c>
      <c r="AM18" s="3">
        <f>IF(AND(Plan!$G18&lt;=AM$4,Plan!$J18&gt;=AM$4),Plan!$B18,"")</f>
        <v/>
      </c>
      <c r="AN18" s="3">
        <f>IF(AND(Plan!$G18&lt;=AN$4,Plan!$J18&gt;=AN$4),Plan!$B18,"")</f>
        <v/>
      </c>
      <c r="AO18" s="3">
        <f>IF(AND(Plan!$G18&lt;=AO$4,Plan!$J18&gt;=AO$4),Plan!$B18,"")</f>
        <v/>
      </c>
      <c r="AP18" s="3">
        <f>IF(AND(Plan!$G18&lt;=AP$4,Plan!$J18&gt;=AP$4),Plan!$B18,"")</f>
        <v/>
      </c>
      <c r="AQ18" s="3">
        <f>IF(AND(Plan!$G18&lt;=AQ$4,Plan!$J18&gt;=AQ$4),Plan!$B18,"")</f>
        <v/>
      </c>
      <c r="AR18" s="3">
        <f>IF(AND(Plan!$G18&lt;=AR$4,Plan!$J18&gt;=AR$4),Plan!$B18,"")</f>
        <v/>
      </c>
    </row>
    <row r="19">
      <c r="A19" s="11" t="inlineStr">
        <is>
          <t>Sites live</t>
        </is>
      </c>
      <c r="B19" s="11">
        <f>SUMPRODUCT((Plan!$G$5:$G$18&lt;=B$4)*(Plan!$J$5:$J$18&gt;=B$4))</f>
        <v/>
      </c>
      <c r="C19" s="11">
        <f>SUMPRODUCT((Plan!$G$5:$G$18&lt;=C$4)*(Plan!$J$5:$J$18&gt;=C$4))</f>
        <v/>
      </c>
      <c r="D19" s="11">
        <f>SUMPRODUCT((Plan!$G$5:$G$18&lt;=D$4)*(Plan!$J$5:$J$18&gt;=D$4))</f>
        <v/>
      </c>
      <c r="E19" s="11">
        <f>SUMPRODUCT((Plan!$G$5:$G$18&lt;=E$4)*(Plan!$J$5:$J$18&gt;=E$4))</f>
        <v/>
      </c>
      <c r="F19" s="11">
        <f>SUMPRODUCT((Plan!$G$5:$G$18&lt;=F$4)*(Plan!$J$5:$J$18&gt;=F$4))</f>
        <v/>
      </c>
      <c r="G19" s="11">
        <f>SUMPRODUCT((Plan!$G$5:$G$18&lt;=G$4)*(Plan!$J$5:$J$18&gt;=G$4))</f>
        <v/>
      </c>
      <c r="H19" s="11">
        <f>SUMPRODUCT((Plan!$G$5:$G$18&lt;=H$4)*(Plan!$J$5:$J$18&gt;=H$4))</f>
        <v/>
      </c>
      <c r="I19" s="11">
        <f>SUMPRODUCT((Plan!$G$5:$G$18&lt;=I$4)*(Plan!$J$5:$J$18&gt;=I$4))</f>
        <v/>
      </c>
      <c r="J19" s="11">
        <f>SUMPRODUCT((Plan!$G$5:$G$18&lt;=J$4)*(Plan!$J$5:$J$18&gt;=J$4))</f>
        <v/>
      </c>
      <c r="K19" s="11">
        <f>SUMPRODUCT((Plan!$G$5:$G$18&lt;=K$4)*(Plan!$J$5:$J$18&gt;=K$4))</f>
        <v/>
      </c>
      <c r="L19" s="11">
        <f>SUMPRODUCT((Plan!$G$5:$G$18&lt;=L$4)*(Plan!$J$5:$J$18&gt;=L$4))</f>
        <v/>
      </c>
      <c r="M19" s="11">
        <f>SUMPRODUCT((Plan!$G$5:$G$18&lt;=M$4)*(Plan!$J$5:$J$18&gt;=M$4))</f>
        <v/>
      </c>
      <c r="N19" s="11">
        <f>SUMPRODUCT((Plan!$G$5:$G$18&lt;=N$4)*(Plan!$J$5:$J$18&gt;=N$4))</f>
        <v/>
      </c>
      <c r="O19" s="11">
        <f>SUMPRODUCT((Plan!$G$5:$G$18&lt;=O$4)*(Plan!$J$5:$J$18&gt;=O$4))</f>
        <v/>
      </c>
      <c r="P19" s="11">
        <f>SUMPRODUCT((Plan!$G$5:$G$18&lt;=P$4)*(Plan!$J$5:$J$18&gt;=P$4))</f>
        <v/>
      </c>
      <c r="Q19" s="11">
        <f>SUMPRODUCT((Plan!$G$5:$G$18&lt;=Q$4)*(Plan!$J$5:$J$18&gt;=Q$4))</f>
        <v/>
      </c>
      <c r="R19" s="11">
        <f>SUMPRODUCT((Plan!$G$5:$G$18&lt;=R$4)*(Plan!$J$5:$J$18&gt;=R$4))</f>
        <v/>
      </c>
      <c r="S19" s="11">
        <f>SUMPRODUCT((Plan!$G$5:$G$18&lt;=S$4)*(Plan!$J$5:$J$18&gt;=S$4))</f>
        <v/>
      </c>
      <c r="T19" s="11">
        <f>SUMPRODUCT((Plan!$G$5:$G$18&lt;=T$4)*(Plan!$J$5:$J$18&gt;=T$4))</f>
        <v/>
      </c>
      <c r="U19" s="11">
        <f>SUMPRODUCT((Plan!$G$5:$G$18&lt;=U$4)*(Plan!$J$5:$J$18&gt;=U$4))</f>
        <v/>
      </c>
      <c r="V19" s="11">
        <f>SUMPRODUCT((Plan!$G$5:$G$18&lt;=V$4)*(Plan!$J$5:$J$18&gt;=V$4))</f>
        <v/>
      </c>
      <c r="W19" s="11">
        <f>SUMPRODUCT((Plan!$G$5:$G$18&lt;=W$4)*(Plan!$J$5:$J$18&gt;=W$4))</f>
        <v/>
      </c>
      <c r="X19" s="11">
        <f>SUMPRODUCT((Plan!$G$5:$G$18&lt;=X$4)*(Plan!$J$5:$J$18&gt;=X$4))</f>
        <v/>
      </c>
      <c r="Y19" s="11">
        <f>SUMPRODUCT((Plan!$G$5:$G$18&lt;=Y$4)*(Plan!$J$5:$J$18&gt;=Y$4))</f>
        <v/>
      </c>
      <c r="Z19" s="11">
        <f>SUMPRODUCT((Plan!$G$5:$G$18&lt;=Z$4)*(Plan!$J$5:$J$18&gt;=Z$4))</f>
        <v/>
      </c>
      <c r="AA19" s="11">
        <f>SUMPRODUCT((Plan!$G$5:$G$18&lt;=AA$4)*(Plan!$J$5:$J$18&gt;=AA$4))</f>
        <v/>
      </c>
      <c r="AB19" s="11">
        <f>SUMPRODUCT((Plan!$G$5:$G$18&lt;=AB$4)*(Plan!$J$5:$J$18&gt;=AB$4))</f>
        <v/>
      </c>
      <c r="AC19" s="11">
        <f>SUMPRODUCT((Plan!$G$5:$G$18&lt;=AC$4)*(Plan!$J$5:$J$18&gt;=AC$4))</f>
        <v/>
      </c>
      <c r="AD19" s="11">
        <f>SUMPRODUCT((Plan!$G$5:$G$18&lt;=AD$4)*(Plan!$J$5:$J$18&gt;=AD$4))</f>
        <v/>
      </c>
      <c r="AE19" s="11">
        <f>SUMPRODUCT((Plan!$G$5:$G$18&lt;=AE$4)*(Plan!$J$5:$J$18&gt;=AE$4))</f>
        <v/>
      </c>
      <c r="AF19" s="11">
        <f>SUMPRODUCT((Plan!$G$5:$G$18&lt;=AF$4)*(Plan!$J$5:$J$18&gt;=AF$4))</f>
        <v/>
      </c>
      <c r="AG19" s="11">
        <f>SUMPRODUCT((Plan!$G$5:$G$18&lt;=AG$4)*(Plan!$J$5:$J$18&gt;=AG$4))</f>
        <v/>
      </c>
      <c r="AH19" s="11">
        <f>SUMPRODUCT((Plan!$G$5:$G$18&lt;=AH$4)*(Plan!$J$5:$J$18&gt;=AH$4))</f>
        <v/>
      </c>
      <c r="AI19" s="11">
        <f>SUMPRODUCT((Plan!$G$5:$G$18&lt;=AI$4)*(Plan!$J$5:$J$18&gt;=AI$4))</f>
        <v/>
      </c>
      <c r="AJ19" s="11">
        <f>SUMPRODUCT((Plan!$G$5:$G$18&lt;=AJ$4)*(Plan!$J$5:$J$18&gt;=AJ$4))</f>
        <v/>
      </c>
      <c r="AK19" s="11">
        <f>SUMPRODUCT((Plan!$G$5:$G$18&lt;=AK$4)*(Plan!$J$5:$J$18&gt;=AK$4))</f>
        <v/>
      </c>
      <c r="AL19" s="11">
        <f>SUMPRODUCT((Plan!$G$5:$G$18&lt;=AL$4)*(Plan!$J$5:$J$18&gt;=AL$4))</f>
        <v/>
      </c>
      <c r="AM19" s="11">
        <f>SUMPRODUCT((Plan!$G$5:$G$18&lt;=AM$4)*(Plan!$J$5:$J$18&gt;=AM$4))</f>
        <v/>
      </c>
      <c r="AN19" s="11">
        <f>SUMPRODUCT((Plan!$G$5:$G$18&lt;=AN$4)*(Plan!$J$5:$J$18&gt;=AN$4))</f>
        <v/>
      </c>
      <c r="AO19" s="11">
        <f>SUMPRODUCT((Plan!$G$5:$G$18&lt;=AO$4)*(Plan!$J$5:$J$18&gt;=AO$4))</f>
        <v/>
      </c>
      <c r="AP19" s="11">
        <f>SUMPRODUCT((Plan!$G$5:$G$18&lt;=AP$4)*(Plan!$J$5:$J$18&gt;=AP$4))</f>
        <v/>
      </c>
      <c r="AQ19" s="11">
        <f>SUMPRODUCT((Plan!$G$5:$G$18&lt;=AQ$4)*(Plan!$J$5:$J$18&gt;=AQ$4))</f>
        <v/>
      </c>
      <c r="AR19" s="11">
        <f>SUMPRODUCT((Plan!$G$5:$G$18&lt;=AR$4)*(Plan!$J$5:$J$18&gt;=AR$4))</f>
        <v/>
      </c>
    </row>
    <row r="21">
      <c r="A21" s="3" t="inlineStr">
        <is>
          <t>Team 1</t>
        </is>
      </c>
      <c r="B21" s="3">
        <f>SUMPRODUCT((Plan!$F$5:$F$18=1)*(Plan!$G$5:$G$18&lt;=B$4)*(Plan!$J$5:$J$18&gt;=B$4))</f>
        <v/>
      </c>
      <c r="C21" s="3">
        <f>SUMPRODUCT((Plan!$F$5:$F$18=1)*(Plan!$G$5:$G$18&lt;=C$4)*(Plan!$J$5:$J$18&gt;=C$4))</f>
        <v/>
      </c>
      <c r="D21" s="3">
        <f>SUMPRODUCT((Plan!$F$5:$F$18=1)*(Plan!$G$5:$G$18&lt;=D$4)*(Plan!$J$5:$J$18&gt;=D$4))</f>
        <v/>
      </c>
      <c r="E21" s="3">
        <f>SUMPRODUCT((Plan!$F$5:$F$18=1)*(Plan!$G$5:$G$18&lt;=E$4)*(Plan!$J$5:$J$18&gt;=E$4))</f>
        <v/>
      </c>
      <c r="F21" s="3">
        <f>SUMPRODUCT((Plan!$F$5:$F$18=1)*(Plan!$G$5:$G$18&lt;=F$4)*(Plan!$J$5:$J$18&gt;=F$4))</f>
        <v/>
      </c>
      <c r="G21" s="3">
        <f>SUMPRODUCT((Plan!$F$5:$F$18=1)*(Plan!$G$5:$G$18&lt;=G$4)*(Plan!$J$5:$J$18&gt;=G$4))</f>
        <v/>
      </c>
      <c r="H21" s="3">
        <f>SUMPRODUCT((Plan!$F$5:$F$18=1)*(Plan!$G$5:$G$18&lt;=H$4)*(Plan!$J$5:$J$18&gt;=H$4))</f>
        <v/>
      </c>
      <c r="I21" s="3">
        <f>SUMPRODUCT((Plan!$F$5:$F$18=1)*(Plan!$G$5:$G$18&lt;=I$4)*(Plan!$J$5:$J$18&gt;=I$4))</f>
        <v/>
      </c>
      <c r="J21" s="3">
        <f>SUMPRODUCT((Plan!$F$5:$F$18=1)*(Plan!$G$5:$G$18&lt;=J$4)*(Plan!$J$5:$J$18&gt;=J$4))</f>
        <v/>
      </c>
      <c r="K21" s="3">
        <f>SUMPRODUCT((Plan!$F$5:$F$18=1)*(Plan!$G$5:$G$18&lt;=K$4)*(Plan!$J$5:$J$18&gt;=K$4))</f>
        <v/>
      </c>
      <c r="L21" s="3">
        <f>SUMPRODUCT((Plan!$F$5:$F$18=1)*(Plan!$G$5:$G$18&lt;=L$4)*(Plan!$J$5:$J$18&gt;=L$4))</f>
        <v/>
      </c>
      <c r="M21" s="3">
        <f>SUMPRODUCT((Plan!$F$5:$F$18=1)*(Plan!$G$5:$G$18&lt;=M$4)*(Plan!$J$5:$J$18&gt;=M$4))</f>
        <v/>
      </c>
      <c r="N21" s="3">
        <f>SUMPRODUCT((Plan!$F$5:$F$18=1)*(Plan!$G$5:$G$18&lt;=N$4)*(Plan!$J$5:$J$18&gt;=N$4))</f>
        <v/>
      </c>
      <c r="O21" s="3">
        <f>SUMPRODUCT((Plan!$F$5:$F$18=1)*(Plan!$G$5:$G$18&lt;=O$4)*(Plan!$J$5:$J$18&gt;=O$4))</f>
        <v/>
      </c>
      <c r="P21" s="3">
        <f>SUMPRODUCT((Plan!$F$5:$F$18=1)*(Plan!$G$5:$G$18&lt;=P$4)*(Plan!$J$5:$J$18&gt;=P$4))</f>
        <v/>
      </c>
      <c r="Q21" s="3">
        <f>SUMPRODUCT((Plan!$F$5:$F$18=1)*(Plan!$G$5:$G$18&lt;=Q$4)*(Plan!$J$5:$J$18&gt;=Q$4))</f>
        <v/>
      </c>
      <c r="R21" s="3">
        <f>SUMPRODUCT((Plan!$F$5:$F$18=1)*(Plan!$G$5:$G$18&lt;=R$4)*(Plan!$J$5:$J$18&gt;=R$4))</f>
        <v/>
      </c>
      <c r="S21" s="3">
        <f>SUMPRODUCT((Plan!$F$5:$F$18=1)*(Plan!$G$5:$G$18&lt;=S$4)*(Plan!$J$5:$J$18&gt;=S$4))</f>
        <v/>
      </c>
      <c r="T21" s="3">
        <f>SUMPRODUCT((Plan!$F$5:$F$18=1)*(Plan!$G$5:$G$18&lt;=T$4)*(Plan!$J$5:$J$18&gt;=T$4))</f>
        <v/>
      </c>
      <c r="U21" s="3">
        <f>SUMPRODUCT((Plan!$F$5:$F$18=1)*(Plan!$G$5:$G$18&lt;=U$4)*(Plan!$J$5:$J$18&gt;=U$4))</f>
        <v/>
      </c>
      <c r="V21" s="3">
        <f>SUMPRODUCT((Plan!$F$5:$F$18=1)*(Plan!$G$5:$G$18&lt;=V$4)*(Plan!$J$5:$J$18&gt;=V$4))</f>
        <v/>
      </c>
      <c r="W21" s="3">
        <f>SUMPRODUCT((Plan!$F$5:$F$18=1)*(Plan!$G$5:$G$18&lt;=W$4)*(Plan!$J$5:$J$18&gt;=W$4))</f>
        <v/>
      </c>
      <c r="X21" s="3">
        <f>SUMPRODUCT((Plan!$F$5:$F$18=1)*(Plan!$G$5:$G$18&lt;=X$4)*(Plan!$J$5:$J$18&gt;=X$4))</f>
        <v/>
      </c>
      <c r="Y21" s="3">
        <f>SUMPRODUCT((Plan!$F$5:$F$18=1)*(Plan!$G$5:$G$18&lt;=Y$4)*(Plan!$J$5:$J$18&gt;=Y$4))</f>
        <v/>
      </c>
      <c r="Z21" s="3">
        <f>SUMPRODUCT((Plan!$F$5:$F$18=1)*(Plan!$G$5:$G$18&lt;=Z$4)*(Plan!$J$5:$J$18&gt;=Z$4))</f>
        <v/>
      </c>
      <c r="AA21" s="3">
        <f>SUMPRODUCT((Plan!$F$5:$F$18=1)*(Plan!$G$5:$G$18&lt;=AA$4)*(Plan!$J$5:$J$18&gt;=AA$4))</f>
        <v/>
      </c>
      <c r="AB21" s="3">
        <f>SUMPRODUCT((Plan!$F$5:$F$18=1)*(Plan!$G$5:$G$18&lt;=AB$4)*(Plan!$J$5:$J$18&gt;=AB$4))</f>
        <v/>
      </c>
      <c r="AC21" s="3">
        <f>SUMPRODUCT((Plan!$F$5:$F$18=1)*(Plan!$G$5:$G$18&lt;=AC$4)*(Plan!$J$5:$J$18&gt;=AC$4))</f>
        <v/>
      </c>
      <c r="AD21" s="3">
        <f>SUMPRODUCT((Plan!$F$5:$F$18=1)*(Plan!$G$5:$G$18&lt;=AD$4)*(Plan!$J$5:$J$18&gt;=AD$4))</f>
        <v/>
      </c>
      <c r="AE21" s="3">
        <f>SUMPRODUCT((Plan!$F$5:$F$18=1)*(Plan!$G$5:$G$18&lt;=AE$4)*(Plan!$J$5:$J$18&gt;=AE$4))</f>
        <v/>
      </c>
      <c r="AF21" s="3">
        <f>SUMPRODUCT((Plan!$F$5:$F$18=1)*(Plan!$G$5:$G$18&lt;=AF$4)*(Plan!$J$5:$J$18&gt;=AF$4))</f>
        <v/>
      </c>
      <c r="AG21" s="3">
        <f>SUMPRODUCT((Plan!$F$5:$F$18=1)*(Plan!$G$5:$G$18&lt;=AG$4)*(Plan!$J$5:$J$18&gt;=AG$4))</f>
        <v/>
      </c>
      <c r="AH21" s="3">
        <f>SUMPRODUCT((Plan!$F$5:$F$18=1)*(Plan!$G$5:$G$18&lt;=AH$4)*(Plan!$J$5:$J$18&gt;=AH$4))</f>
        <v/>
      </c>
      <c r="AI21" s="3">
        <f>SUMPRODUCT((Plan!$F$5:$F$18=1)*(Plan!$G$5:$G$18&lt;=AI$4)*(Plan!$J$5:$J$18&gt;=AI$4))</f>
        <v/>
      </c>
      <c r="AJ21" s="3">
        <f>SUMPRODUCT((Plan!$F$5:$F$18=1)*(Plan!$G$5:$G$18&lt;=AJ$4)*(Plan!$J$5:$J$18&gt;=AJ$4))</f>
        <v/>
      </c>
      <c r="AK21" s="3">
        <f>SUMPRODUCT((Plan!$F$5:$F$18=1)*(Plan!$G$5:$G$18&lt;=AK$4)*(Plan!$J$5:$J$18&gt;=AK$4))</f>
        <v/>
      </c>
      <c r="AL21" s="3">
        <f>SUMPRODUCT((Plan!$F$5:$F$18=1)*(Plan!$G$5:$G$18&lt;=AL$4)*(Plan!$J$5:$J$18&gt;=AL$4))</f>
        <v/>
      </c>
      <c r="AM21" s="3">
        <f>SUMPRODUCT((Plan!$F$5:$F$18=1)*(Plan!$G$5:$G$18&lt;=AM$4)*(Plan!$J$5:$J$18&gt;=AM$4))</f>
        <v/>
      </c>
      <c r="AN21" s="3">
        <f>SUMPRODUCT((Plan!$F$5:$F$18=1)*(Plan!$G$5:$G$18&lt;=AN$4)*(Plan!$J$5:$J$18&gt;=AN$4))</f>
        <v/>
      </c>
      <c r="AO21" s="3">
        <f>SUMPRODUCT((Plan!$F$5:$F$18=1)*(Plan!$G$5:$G$18&lt;=AO$4)*(Plan!$J$5:$J$18&gt;=AO$4))</f>
        <v/>
      </c>
      <c r="AP21" s="3">
        <f>SUMPRODUCT((Plan!$F$5:$F$18=1)*(Plan!$G$5:$G$18&lt;=AP$4)*(Plan!$J$5:$J$18&gt;=AP$4))</f>
        <v/>
      </c>
      <c r="AQ21" s="3">
        <f>SUMPRODUCT((Plan!$F$5:$F$18=1)*(Plan!$G$5:$G$18&lt;=AQ$4)*(Plan!$J$5:$J$18&gt;=AQ$4))</f>
        <v/>
      </c>
      <c r="AR21" s="3">
        <f>SUMPRODUCT((Plan!$F$5:$F$18=1)*(Plan!$G$5:$G$18&lt;=AR$4)*(Plan!$J$5:$J$18&gt;=AR$4))</f>
        <v/>
      </c>
    </row>
    <row r="22">
      <c r="A22" s="3" t="inlineStr">
        <is>
          <t>Team 2</t>
        </is>
      </c>
      <c r="B22" s="3">
        <f>SUMPRODUCT((Plan!$F$5:$F$18=2)*(Plan!$G$5:$G$18&lt;=B$4)*(Plan!$J$5:$J$18&gt;=B$4))</f>
        <v/>
      </c>
      <c r="C22" s="3">
        <f>SUMPRODUCT((Plan!$F$5:$F$18=2)*(Plan!$G$5:$G$18&lt;=C$4)*(Plan!$J$5:$J$18&gt;=C$4))</f>
        <v/>
      </c>
      <c r="D22" s="3">
        <f>SUMPRODUCT((Plan!$F$5:$F$18=2)*(Plan!$G$5:$G$18&lt;=D$4)*(Plan!$J$5:$J$18&gt;=D$4))</f>
        <v/>
      </c>
      <c r="E22" s="3">
        <f>SUMPRODUCT((Plan!$F$5:$F$18=2)*(Plan!$G$5:$G$18&lt;=E$4)*(Plan!$J$5:$J$18&gt;=E$4))</f>
        <v/>
      </c>
      <c r="F22" s="3">
        <f>SUMPRODUCT((Plan!$F$5:$F$18=2)*(Plan!$G$5:$G$18&lt;=F$4)*(Plan!$J$5:$J$18&gt;=F$4))</f>
        <v/>
      </c>
      <c r="G22" s="3">
        <f>SUMPRODUCT((Plan!$F$5:$F$18=2)*(Plan!$G$5:$G$18&lt;=G$4)*(Plan!$J$5:$J$18&gt;=G$4))</f>
        <v/>
      </c>
      <c r="H22" s="3">
        <f>SUMPRODUCT((Plan!$F$5:$F$18=2)*(Plan!$G$5:$G$18&lt;=H$4)*(Plan!$J$5:$J$18&gt;=H$4))</f>
        <v/>
      </c>
      <c r="I22" s="3">
        <f>SUMPRODUCT((Plan!$F$5:$F$18=2)*(Plan!$G$5:$G$18&lt;=I$4)*(Plan!$J$5:$J$18&gt;=I$4))</f>
        <v/>
      </c>
      <c r="J22" s="3">
        <f>SUMPRODUCT((Plan!$F$5:$F$18=2)*(Plan!$G$5:$G$18&lt;=J$4)*(Plan!$J$5:$J$18&gt;=J$4))</f>
        <v/>
      </c>
      <c r="K22" s="3">
        <f>SUMPRODUCT((Plan!$F$5:$F$18=2)*(Plan!$G$5:$G$18&lt;=K$4)*(Plan!$J$5:$J$18&gt;=K$4))</f>
        <v/>
      </c>
      <c r="L22" s="3">
        <f>SUMPRODUCT((Plan!$F$5:$F$18=2)*(Plan!$G$5:$G$18&lt;=L$4)*(Plan!$J$5:$J$18&gt;=L$4))</f>
        <v/>
      </c>
      <c r="M22" s="3">
        <f>SUMPRODUCT((Plan!$F$5:$F$18=2)*(Plan!$G$5:$G$18&lt;=M$4)*(Plan!$J$5:$J$18&gt;=M$4))</f>
        <v/>
      </c>
      <c r="N22" s="3">
        <f>SUMPRODUCT((Plan!$F$5:$F$18=2)*(Plan!$G$5:$G$18&lt;=N$4)*(Plan!$J$5:$J$18&gt;=N$4))</f>
        <v/>
      </c>
      <c r="O22" s="3">
        <f>SUMPRODUCT((Plan!$F$5:$F$18=2)*(Plan!$G$5:$G$18&lt;=O$4)*(Plan!$J$5:$J$18&gt;=O$4))</f>
        <v/>
      </c>
      <c r="P22" s="3">
        <f>SUMPRODUCT((Plan!$F$5:$F$18=2)*(Plan!$G$5:$G$18&lt;=P$4)*(Plan!$J$5:$J$18&gt;=P$4))</f>
        <v/>
      </c>
      <c r="Q22" s="3">
        <f>SUMPRODUCT((Plan!$F$5:$F$18=2)*(Plan!$G$5:$G$18&lt;=Q$4)*(Plan!$J$5:$J$18&gt;=Q$4))</f>
        <v/>
      </c>
      <c r="R22" s="3">
        <f>SUMPRODUCT((Plan!$F$5:$F$18=2)*(Plan!$G$5:$G$18&lt;=R$4)*(Plan!$J$5:$J$18&gt;=R$4))</f>
        <v/>
      </c>
      <c r="S22" s="3">
        <f>SUMPRODUCT((Plan!$F$5:$F$18=2)*(Plan!$G$5:$G$18&lt;=S$4)*(Plan!$J$5:$J$18&gt;=S$4))</f>
        <v/>
      </c>
      <c r="T22" s="3">
        <f>SUMPRODUCT((Plan!$F$5:$F$18=2)*(Plan!$G$5:$G$18&lt;=T$4)*(Plan!$J$5:$J$18&gt;=T$4))</f>
        <v/>
      </c>
      <c r="U22" s="3">
        <f>SUMPRODUCT((Plan!$F$5:$F$18=2)*(Plan!$G$5:$G$18&lt;=U$4)*(Plan!$J$5:$J$18&gt;=U$4))</f>
        <v/>
      </c>
      <c r="V22" s="3">
        <f>SUMPRODUCT((Plan!$F$5:$F$18=2)*(Plan!$G$5:$G$18&lt;=V$4)*(Plan!$J$5:$J$18&gt;=V$4))</f>
        <v/>
      </c>
      <c r="W22" s="3">
        <f>SUMPRODUCT((Plan!$F$5:$F$18=2)*(Plan!$G$5:$G$18&lt;=W$4)*(Plan!$J$5:$J$18&gt;=W$4))</f>
        <v/>
      </c>
      <c r="X22" s="3">
        <f>SUMPRODUCT((Plan!$F$5:$F$18=2)*(Plan!$G$5:$G$18&lt;=X$4)*(Plan!$J$5:$J$18&gt;=X$4))</f>
        <v/>
      </c>
      <c r="Y22" s="3">
        <f>SUMPRODUCT((Plan!$F$5:$F$18=2)*(Plan!$G$5:$G$18&lt;=Y$4)*(Plan!$J$5:$J$18&gt;=Y$4))</f>
        <v/>
      </c>
      <c r="Z22" s="3">
        <f>SUMPRODUCT((Plan!$F$5:$F$18=2)*(Plan!$G$5:$G$18&lt;=Z$4)*(Plan!$J$5:$J$18&gt;=Z$4))</f>
        <v/>
      </c>
      <c r="AA22" s="3">
        <f>SUMPRODUCT((Plan!$F$5:$F$18=2)*(Plan!$G$5:$G$18&lt;=AA$4)*(Plan!$J$5:$J$18&gt;=AA$4))</f>
        <v/>
      </c>
      <c r="AB22" s="3">
        <f>SUMPRODUCT((Plan!$F$5:$F$18=2)*(Plan!$G$5:$G$18&lt;=AB$4)*(Plan!$J$5:$J$18&gt;=AB$4))</f>
        <v/>
      </c>
      <c r="AC22" s="3">
        <f>SUMPRODUCT((Plan!$F$5:$F$18=2)*(Plan!$G$5:$G$18&lt;=AC$4)*(Plan!$J$5:$J$18&gt;=AC$4))</f>
        <v/>
      </c>
      <c r="AD22" s="3">
        <f>SUMPRODUCT((Plan!$F$5:$F$18=2)*(Plan!$G$5:$G$18&lt;=AD$4)*(Plan!$J$5:$J$18&gt;=AD$4))</f>
        <v/>
      </c>
      <c r="AE22" s="3">
        <f>SUMPRODUCT((Plan!$F$5:$F$18=2)*(Plan!$G$5:$G$18&lt;=AE$4)*(Plan!$J$5:$J$18&gt;=AE$4))</f>
        <v/>
      </c>
      <c r="AF22" s="3">
        <f>SUMPRODUCT((Plan!$F$5:$F$18=2)*(Plan!$G$5:$G$18&lt;=AF$4)*(Plan!$J$5:$J$18&gt;=AF$4))</f>
        <v/>
      </c>
      <c r="AG22" s="3">
        <f>SUMPRODUCT((Plan!$F$5:$F$18=2)*(Plan!$G$5:$G$18&lt;=AG$4)*(Plan!$J$5:$J$18&gt;=AG$4))</f>
        <v/>
      </c>
      <c r="AH22" s="3">
        <f>SUMPRODUCT((Plan!$F$5:$F$18=2)*(Plan!$G$5:$G$18&lt;=AH$4)*(Plan!$J$5:$J$18&gt;=AH$4))</f>
        <v/>
      </c>
      <c r="AI22" s="3">
        <f>SUMPRODUCT((Plan!$F$5:$F$18=2)*(Plan!$G$5:$G$18&lt;=AI$4)*(Plan!$J$5:$J$18&gt;=AI$4))</f>
        <v/>
      </c>
      <c r="AJ22" s="3">
        <f>SUMPRODUCT((Plan!$F$5:$F$18=2)*(Plan!$G$5:$G$18&lt;=AJ$4)*(Plan!$J$5:$J$18&gt;=AJ$4))</f>
        <v/>
      </c>
      <c r="AK22" s="3">
        <f>SUMPRODUCT((Plan!$F$5:$F$18=2)*(Plan!$G$5:$G$18&lt;=AK$4)*(Plan!$J$5:$J$18&gt;=AK$4))</f>
        <v/>
      </c>
      <c r="AL22" s="3">
        <f>SUMPRODUCT((Plan!$F$5:$F$18=2)*(Plan!$G$5:$G$18&lt;=AL$4)*(Plan!$J$5:$J$18&gt;=AL$4))</f>
        <v/>
      </c>
      <c r="AM22" s="3">
        <f>SUMPRODUCT((Plan!$F$5:$F$18=2)*(Plan!$G$5:$G$18&lt;=AM$4)*(Plan!$J$5:$J$18&gt;=AM$4))</f>
        <v/>
      </c>
      <c r="AN22" s="3">
        <f>SUMPRODUCT((Plan!$F$5:$F$18=2)*(Plan!$G$5:$G$18&lt;=AN$4)*(Plan!$J$5:$J$18&gt;=AN$4))</f>
        <v/>
      </c>
      <c r="AO22" s="3">
        <f>SUMPRODUCT((Plan!$F$5:$F$18=2)*(Plan!$G$5:$G$18&lt;=AO$4)*(Plan!$J$5:$J$18&gt;=AO$4))</f>
        <v/>
      </c>
      <c r="AP22" s="3">
        <f>SUMPRODUCT((Plan!$F$5:$F$18=2)*(Plan!$G$5:$G$18&lt;=AP$4)*(Plan!$J$5:$J$18&gt;=AP$4))</f>
        <v/>
      </c>
      <c r="AQ22" s="3">
        <f>SUMPRODUCT((Plan!$F$5:$F$18=2)*(Plan!$G$5:$G$18&lt;=AQ$4)*(Plan!$J$5:$J$18&gt;=AQ$4))</f>
        <v/>
      </c>
      <c r="AR22" s="3">
        <f>SUMPRODUCT((Plan!$F$5:$F$18=2)*(Plan!$G$5:$G$18&lt;=AR$4)*(Plan!$J$5:$J$18&gt;=AR$4))</f>
        <v/>
      </c>
    </row>
    <row r="23">
      <c r="A23" s="3" t="inlineStr">
        <is>
          <t>Team 3</t>
        </is>
      </c>
      <c r="B23" s="3">
        <f>SUMPRODUCT((Plan!$F$5:$F$18=3)*(Plan!$G$5:$G$18&lt;=B$4)*(Plan!$J$5:$J$18&gt;=B$4))</f>
        <v/>
      </c>
      <c r="C23" s="3">
        <f>SUMPRODUCT((Plan!$F$5:$F$18=3)*(Plan!$G$5:$G$18&lt;=C$4)*(Plan!$J$5:$J$18&gt;=C$4))</f>
        <v/>
      </c>
      <c r="D23" s="3">
        <f>SUMPRODUCT((Plan!$F$5:$F$18=3)*(Plan!$G$5:$G$18&lt;=D$4)*(Plan!$J$5:$J$18&gt;=D$4))</f>
        <v/>
      </c>
      <c r="E23" s="3">
        <f>SUMPRODUCT((Plan!$F$5:$F$18=3)*(Plan!$G$5:$G$18&lt;=E$4)*(Plan!$J$5:$J$18&gt;=E$4))</f>
        <v/>
      </c>
      <c r="F23" s="3">
        <f>SUMPRODUCT((Plan!$F$5:$F$18=3)*(Plan!$G$5:$G$18&lt;=F$4)*(Plan!$J$5:$J$18&gt;=F$4))</f>
        <v/>
      </c>
      <c r="G23" s="3">
        <f>SUMPRODUCT((Plan!$F$5:$F$18=3)*(Plan!$G$5:$G$18&lt;=G$4)*(Plan!$J$5:$J$18&gt;=G$4))</f>
        <v/>
      </c>
      <c r="H23" s="3">
        <f>SUMPRODUCT((Plan!$F$5:$F$18=3)*(Plan!$G$5:$G$18&lt;=H$4)*(Plan!$J$5:$J$18&gt;=H$4))</f>
        <v/>
      </c>
      <c r="I23" s="3">
        <f>SUMPRODUCT((Plan!$F$5:$F$18=3)*(Plan!$G$5:$G$18&lt;=I$4)*(Plan!$J$5:$J$18&gt;=I$4))</f>
        <v/>
      </c>
      <c r="J23" s="3">
        <f>SUMPRODUCT((Plan!$F$5:$F$18=3)*(Plan!$G$5:$G$18&lt;=J$4)*(Plan!$J$5:$J$18&gt;=J$4))</f>
        <v/>
      </c>
      <c r="K23" s="3">
        <f>SUMPRODUCT((Plan!$F$5:$F$18=3)*(Plan!$G$5:$G$18&lt;=K$4)*(Plan!$J$5:$J$18&gt;=K$4))</f>
        <v/>
      </c>
      <c r="L23" s="3">
        <f>SUMPRODUCT((Plan!$F$5:$F$18=3)*(Plan!$G$5:$G$18&lt;=L$4)*(Plan!$J$5:$J$18&gt;=L$4))</f>
        <v/>
      </c>
      <c r="M23" s="3">
        <f>SUMPRODUCT((Plan!$F$5:$F$18=3)*(Plan!$G$5:$G$18&lt;=M$4)*(Plan!$J$5:$J$18&gt;=M$4))</f>
        <v/>
      </c>
      <c r="N23" s="3">
        <f>SUMPRODUCT((Plan!$F$5:$F$18=3)*(Plan!$G$5:$G$18&lt;=N$4)*(Plan!$J$5:$J$18&gt;=N$4))</f>
        <v/>
      </c>
      <c r="O23" s="3">
        <f>SUMPRODUCT((Plan!$F$5:$F$18=3)*(Plan!$G$5:$G$18&lt;=O$4)*(Plan!$J$5:$J$18&gt;=O$4))</f>
        <v/>
      </c>
      <c r="P23" s="3">
        <f>SUMPRODUCT((Plan!$F$5:$F$18=3)*(Plan!$G$5:$G$18&lt;=P$4)*(Plan!$J$5:$J$18&gt;=P$4))</f>
        <v/>
      </c>
      <c r="Q23" s="3">
        <f>SUMPRODUCT((Plan!$F$5:$F$18=3)*(Plan!$G$5:$G$18&lt;=Q$4)*(Plan!$J$5:$J$18&gt;=Q$4))</f>
        <v/>
      </c>
      <c r="R23" s="3">
        <f>SUMPRODUCT((Plan!$F$5:$F$18=3)*(Plan!$G$5:$G$18&lt;=R$4)*(Plan!$J$5:$J$18&gt;=R$4))</f>
        <v/>
      </c>
      <c r="S23" s="3">
        <f>SUMPRODUCT((Plan!$F$5:$F$18=3)*(Plan!$G$5:$G$18&lt;=S$4)*(Plan!$J$5:$J$18&gt;=S$4))</f>
        <v/>
      </c>
      <c r="T23" s="3">
        <f>SUMPRODUCT((Plan!$F$5:$F$18=3)*(Plan!$G$5:$G$18&lt;=T$4)*(Plan!$J$5:$J$18&gt;=T$4))</f>
        <v/>
      </c>
      <c r="U23" s="3">
        <f>SUMPRODUCT((Plan!$F$5:$F$18=3)*(Plan!$G$5:$G$18&lt;=U$4)*(Plan!$J$5:$J$18&gt;=U$4))</f>
        <v/>
      </c>
      <c r="V23" s="3">
        <f>SUMPRODUCT((Plan!$F$5:$F$18=3)*(Plan!$G$5:$G$18&lt;=V$4)*(Plan!$J$5:$J$18&gt;=V$4))</f>
        <v/>
      </c>
      <c r="W23" s="3">
        <f>SUMPRODUCT((Plan!$F$5:$F$18=3)*(Plan!$G$5:$G$18&lt;=W$4)*(Plan!$J$5:$J$18&gt;=W$4))</f>
        <v/>
      </c>
      <c r="X23" s="3">
        <f>SUMPRODUCT((Plan!$F$5:$F$18=3)*(Plan!$G$5:$G$18&lt;=X$4)*(Plan!$J$5:$J$18&gt;=X$4))</f>
        <v/>
      </c>
      <c r="Y23" s="3">
        <f>SUMPRODUCT((Plan!$F$5:$F$18=3)*(Plan!$G$5:$G$18&lt;=Y$4)*(Plan!$J$5:$J$18&gt;=Y$4))</f>
        <v/>
      </c>
      <c r="Z23" s="3">
        <f>SUMPRODUCT((Plan!$F$5:$F$18=3)*(Plan!$G$5:$G$18&lt;=Z$4)*(Plan!$J$5:$J$18&gt;=Z$4))</f>
        <v/>
      </c>
      <c r="AA23" s="3">
        <f>SUMPRODUCT((Plan!$F$5:$F$18=3)*(Plan!$G$5:$G$18&lt;=AA$4)*(Plan!$J$5:$J$18&gt;=AA$4))</f>
        <v/>
      </c>
      <c r="AB23" s="3">
        <f>SUMPRODUCT((Plan!$F$5:$F$18=3)*(Plan!$G$5:$G$18&lt;=AB$4)*(Plan!$J$5:$J$18&gt;=AB$4))</f>
        <v/>
      </c>
      <c r="AC23" s="3">
        <f>SUMPRODUCT((Plan!$F$5:$F$18=3)*(Plan!$G$5:$G$18&lt;=AC$4)*(Plan!$J$5:$J$18&gt;=AC$4))</f>
        <v/>
      </c>
      <c r="AD23" s="3">
        <f>SUMPRODUCT((Plan!$F$5:$F$18=3)*(Plan!$G$5:$G$18&lt;=AD$4)*(Plan!$J$5:$J$18&gt;=AD$4))</f>
        <v/>
      </c>
      <c r="AE23" s="3">
        <f>SUMPRODUCT((Plan!$F$5:$F$18=3)*(Plan!$G$5:$G$18&lt;=AE$4)*(Plan!$J$5:$J$18&gt;=AE$4))</f>
        <v/>
      </c>
      <c r="AF23" s="3">
        <f>SUMPRODUCT((Plan!$F$5:$F$18=3)*(Plan!$G$5:$G$18&lt;=AF$4)*(Plan!$J$5:$J$18&gt;=AF$4))</f>
        <v/>
      </c>
      <c r="AG23" s="3">
        <f>SUMPRODUCT((Plan!$F$5:$F$18=3)*(Plan!$G$5:$G$18&lt;=AG$4)*(Plan!$J$5:$J$18&gt;=AG$4))</f>
        <v/>
      </c>
      <c r="AH23" s="3">
        <f>SUMPRODUCT((Plan!$F$5:$F$18=3)*(Plan!$G$5:$G$18&lt;=AH$4)*(Plan!$J$5:$J$18&gt;=AH$4))</f>
        <v/>
      </c>
      <c r="AI23" s="3">
        <f>SUMPRODUCT((Plan!$F$5:$F$18=3)*(Plan!$G$5:$G$18&lt;=AI$4)*(Plan!$J$5:$J$18&gt;=AI$4))</f>
        <v/>
      </c>
      <c r="AJ23" s="3">
        <f>SUMPRODUCT((Plan!$F$5:$F$18=3)*(Plan!$G$5:$G$18&lt;=AJ$4)*(Plan!$J$5:$J$18&gt;=AJ$4))</f>
        <v/>
      </c>
      <c r="AK23" s="3">
        <f>SUMPRODUCT((Plan!$F$5:$F$18=3)*(Plan!$G$5:$G$18&lt;=AK$4)*(Plan!$J$5:$J$18&gt;=AK$4))</f>
        <v/>
      </c>
      <c r="AL23" s="3">
        <f>SUMPRODUCT((Plan!$F$5:$F$18=3)*(Plan!$G$5:$G$18&lt;=AL$4)*(Plan!$J$5:$J$18&gt;=AL$4))</f>
        <v/>
      </c>
      <c r="AM23" s="3">
        <f>SUMPRODUCT((Plan!$F$5:$F$18=3)*(Plan!$G$5:$G$18&lt;=AM$4)*(Plan!$J$5:$J$18&gt;=AM$4))</f>
        <v/>
      </c>
      <c r="AN23" s="3">
        <f>SUMPRODUCT((Plan!$F$5:$F$18=3)*(Plan!$G$5:$G$18&lt;=AN$4)*(Plan!$J$5:$J$18&gt;=AN$4))</f>
        <v/>
      </c>
      <c r="AO23" s="3">
        <f>SUMPRODUCT((Plan!$F$5:$F$18=3)*(Plan!$G$5:$G$18&lt;=AO$4)*(Plan!$J$5:$J$18&gt;=AO$4))</f>
        <v/>
      </c>
      <c r="AP23" s="3">
        <f>SUMPRODUCT((Plan!$F$5:$F$18=3)*(Plan!$G$5:$G$18&lt;=AP$4)*(Plan!$J$5:$J$18&gt;=AP$4))</f>
        <v/>
      </c>
      <c r="AQ23" s="3">
        <f>SUMPRODUCT((Plan!$F$5:$F$18=3)*(Plan!$G$5:$G$18&lt;=AQ$4)*(Plan!$J$5:$J$18&gt;=AQ$4))</f>
        <v/>
      </c>
      <c r="AR23" s="3">
        <f>SUMPRODUCT((Plan!$F$5:$F$18=3)*(Plan!$G$5:$G$18&lt;=AR$4)*(Plan!$J$5:$J$18&gt;=AR$4))</f>
        <v/>
      </c>
    </row>
    <row r="25">
      <c r="A25" s="14" t="inlineStr">
        <is>
          <t>Peak concurrent</t>
        </is>
      </c>
      <c r="B25" s="14">
        <f>MAX($B$19:$AR$19)</f>
        <v/>
      </c>
      <c r="C25" s="14" t="inlineStr">
        <is>
          <t>Teams available</t>
        </is>
      </c>
      <c r="D25" s="14">
        <f>Reference!$B$5</f>
        <v/>
      </c>
    </row>
    <row r="26">
      <c r="A26" s="14" t="inlineStr">
        <is>
          <t>Cutovers in a blackout week</t>
        </is>
      </c>
      <c r="B26" s="14">
        <f>SUMPRODUCT($B$3:$AR$3,$B$19:$AR$19)</f>
        <v/>
      </c>
      <c r="C26" s="14" t="inlineStr">
        <is>
          <t>Must be zero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3"/>
  <sheetViews>
    <sheetView showGridLines="0" workbookViewId="0">
      <selection activeCell="A1" sqref="A1"/>
    </sheetView>
  </sheetViews>
  <sheetFormatPr baseColWidth="8" defaultRowHeight="15"/>
  <cols>
    <col width="30" customWidth="1" min="1" max="1"/>
    <col width="46" customWidth="1" min="2" max="2"/>
    <col width="12" customWidth="1" min="3" max="3"/>
    <col width="60" customWidth="1" min="4" max="4"/>
  </cols>
  <sheetData>
    <row r="1">
      <c r="A1" s="1" t="inlineStr">
        <is>
          <t>Constraint verification</t>
        </is>
      </c>
    </row>
    <row r="2">
      <c r="A2" s="2" t="inlineStr">
        <is>
          <t>Every result computes from the Plan and Timeline sheets.</t>
        </is>
      </c>
    </row>
    <row r="4" ht="30" customHeight="1">
      <c r="A4" s="6" t="inlineStr">
        <is>
          <t>Constraint</t>
        </is>
      </c>
      <c r="B4" s="6" t="inlineStr">
        <is>
          <t>Test</t>
        </is>
      </c>
      <c r="C4" s="6" t="inlineStr">
        <is>
          <t>Result</t>
        </is>
      </c>
      <c r="D4" s="6" t="inlineStr">
        <is>
          <t>Detail</t>
        </is>
      </c>
    </row>
    <row r="5">
      <c r="A5" s="3" t="inlineStr">
        <is>
          <t>Master data, CHA</t>
        </is>
      </c>
      <c r="B5" s="3" t="inlineStr">
        <is>
          <t>CHA starts after BRD completes</t>
        </is>
      </c>
      <c r="C5" s="3">
        <f>IF(Plan!G8&gt;Plan!J5,"Pass","FAIL")</f>
        <v/>
      </c>
      <c r="D5" s="3" t="inlineStr">
        <is>
          <t>CHA consumes material master owned by BRD</t>
        </is>
      </c>
    </row>
    <row r="6">
      <c r="A6" s="3" t="inlineStr">
        <is>
          <t>Master data, CHA</t>
        </is>
      </c>
      <c r="B6" s="3" t="inlineStr">
        <is>
          <t>CHA starts after HAL completes</t>
        </is>
      </c>
      <c r="C6" s="3">
        <f>IF(Plan!G8&gt;Plan!J6,"Pass","FAIL")</f>
        <v/>
      </c>
      <c r="D6" s="3" t="inlineStr">
        <is>
          <t>CHA consumes customer master owned by HAL</t>
        </is>
      </c>
    </row>
    <row r="7">
      <c r="A7" s="3" t="inlineStr">
        <is>
          <t>Master data, COR</t>
        </is>
      </c>
      <c r="B7" s="3" t="inlineStr">
        <is>
          <t>COR starts after BRD completes</t>
        </is>
      </c>
      <c r="C7" s="3">
        <f>IF(Plan!G9&gt;Plan!J5,"Pass","FAIL")</f>
        <v/>
      </c>
      <c r="D7" s="3" t="inlineStr">
        <is>
          <t>COR consumes material master owned by BRD</t>
        </is>
      </c>
    </row>
    <row r="8">
      <c r="A8" s="3" t="inlineStr">
        <is>
          <t>Master data, COR</t>
        </is>
      </c>
      <c r="B8" s="3" t="inlineStr">
        <is>
          <t>COR starts after KIN completes</t>
        </is>
      </c>
      <c r="C8" s="3">
        <f>IF(Plan!G9&gt;Plan!J7,"Pass","FAIL")</f>
        <v/>
      </c>
      <c r="D8" s="3" t="inlineStr">
        <is>
          <t>COR consumes vendor master owned by KIN</t>
        </is>
      </c>
    </row>
    <row r="9">
      <c r="A9" s="3" t="inlineStr">
        <is>
          <t>Master data, ANT</t>
        </is>
      </c>
      <c r="B9" s="3" t="inlineStr">
        <is>
          <t>ANT starts after BRD completes</t>
        </is>
      </c>
      <c r="C9" s="3">
        <f>IF(Plan!G10&gt;Plan!J5,"Pass","FAIL")</f>
        <v/>
      </c>
      <c r="D9" s="3" t="inlineStr">
        <is>
          <t>ANT consumes material master owned by BRD</t>
        </is>
      </c>
    </row>
    <row r="10">
      <c r="A10" s="3" t="inlineStr">
        <is>
          <t>Master data, ANT</t>
        </is>
      </c>
      <c r="B10" s="3" t="inlineStr">
        <is>
          <t>ANT starts after KIN completes</t>
        </is>
      </c>
      <c r="C10" s="3">
        <f>IF(Plan!G10&gt;Plan!J7,"Pass","FAIL")</f>
        <v/>
      </c>
      <c r="D10" s="3" t="inlineStr">
        <is>
          <t>ANT consumes vendor master owned by KIN</t>
        </is>
      </c>
    </row>
    <row r="11">
      <c r="A11" s="3" t="inlineStr">
        <is>
          <t>Master data, ROT</t>
        </is>
      </c>
      <c r="B11" s="3" t="inlineStr">
        <is>
          <t>ROT starts after BRD completes</t>
        </is>
      </c>
      <c r="C11" s="3">
        <f>IF(Plan!G11&gt;Plan!J5,"Pass","FAIL")</f>
        <v/>
      </c>
      <c r="D11" s="3" t="inlineStr">
        <is>
          <t>ROT consumes material master owned by BRD</t>
        </is>
      </c>
    </row>
    <row r="12">
      <c r="A12" s="3" t="inlineStr">
        <is>
          <t>Master data, ROT</t>
        </is>
      </c>
      <c r="B12" s="3" t="inlineStr">
        <is>
          <t>ROT starts after KIN completes</t>
        </is>
      </c>
      <c r="C12" s="3">
        <f>IF(Plan!G11&gt;Plan!J7,"Pass","FAIL")</f>
        <v/>
      </c>
      <c r="D12" s="3" t="inlineStr">
        <is>
          <t>ROT consumes vendor master owned by KIN</t>
        </is>
      </c>
    </row>
    <row r="13">
      <c r="A13" s="3" t="inlineStr">
        <is>
          <t>Master data, SAR</t>
        </is>
      </c>
      <c r="B13" s="3" t="inlineStr">
        <is>
          <t>SAR starts after BRD completes</t>
        </is>
      </c>
      <c r="C13" s="3">
        <f>IF(Plan!G12&gt;Plan!J5,"Pass","FAIL")</f>
        <v/>
      </c>
      <c r="D13" s="3" t="inlineStr">
        <is>
          <t>SAR consumes material master owned by BRD</t>
        </is>
      </c>
    </row>
    <row r="14">
      <c r="A14" s="3" t="inlineStr">
        <is>
          <t>Master data, SAR</t>
        </is>
      </c>
      <c r="B14" s="3" t="inlineStr">
        <is>
          <t>SAR starts after HAL completes</t>
        </is>
      </c>
      <c r="C14" s="3">
        <f>IF(Plan!G12&gt;Plan!J6,"Pass","FAIL")</f>
        <v/>
      </c>
      <c r="D14" s="3" t="inlineStr">
        <is>
          <t>SAR consumes customer master owned by HAL</t>
        </is>
      </c>
    </row>
    <row r="15">
      <c r="A15" s="3" t="inlineStr">
        <is>
          <t>Master data, GDA</t>
        </is>
      </c>
      <c r="B15" s="3" t="inlineStr">
        <is>
          <t>GDA starts after BRD completes</t>
        </is>
      </c>
      <c r="C15" s="3">
        <f>IF(Plan!G13&gt;Plan!J5,"Pass","FAIL")</f>
        <v/>
      </c>
      <c r="D15" s="3" t="inlineStr">
        <is>
          <t>GDA consumes material master owned by BRD</t>
        </is>
      </c>
    </row>
    <row r="16">
      <c r="A16" s="3" t="inlineStr">
        <is>
          <t>Master data, GDA</t>
        </is>
      </c>
      <c r="B16" s="3" t="inlineStr">
        <is>
          <t>GDA starts after HAL completes</t>
        </is>
      </c>
      <c r="C16" s="3">
        <f>IF(Plan!G13&gt;Plan!J6,"Pass","FAIL")</f>
        <v/>
      </c>
      <c r="D16" s="3" t="inlineStr">
        <is>
          <t>GDA consumes customer master owned by HAL</t>
        </is>
      </c>
    </row>
    <row r="17">
      <c r="A17" s="3" t="inlineStr">
        <is>
          <t>Master data, LYO</t>
        </is>
      </c>
      <c r="B17" s="3" t="inlineStr">
        <is>
          <t>LYO starts after BRD completes</t>
        </is>
      </c>
      <c r="C17" s="3">
        <f>IF(Plan!G14&gt;Plan!J5,"Pass","FAIL")</f>
        <v/>
      </c>
      <c r="D17" s="3" t="inlineStr">
        <is>
          <t>LYO consumes material master owned by BRD</t>
        </is>
      </c>
    </row>
    <row r="18">
      <c r="A18" s="3" t="inlineStr">
        <is>
          <t>Master data, TUR</t>
        </is>
      </c>
      <c r="B18" s="3" t="inlineStr">
        <is>
          <t>TUR starts after BRD completes</t>
        </is>
      </c>
      <c r="C18" s="3">
        <f>IF(Plan!G15&gt;Plan!J5,"Pass","FAIL")</f>
        <v/>
      </c>
      <c r="D18" s="3" t="inlineStr">
        <is>
          <t>TUR consumes material master owned by BRD</t>
        </is>
      </c>
    </row>
    <row r="19">
      <c r="A19" s="3" t="inlineStr">
        <is>
          <t>Master data, MOB</t>
        </is>
      </c>
      <c r="B19" s="3" t="inlineStr">
        <is>
          <t>MOB starts after BRD completes</t>
        </is>
      </c>
      <c r="C19" s="3">
        <f>IF(Plan!G16&gt;Plan!J5,"Pass","FAIL")</f>
        <v/>
      </c>
      <c r="D19" s="3" t="inlineStr">
        <is>
          <t>MOB consumes material master owned by BRD</t>
        </is>
      </c>
    </row>
    <row r="20">
      <c r="A20" s="3" t="inlineStr">
        <is>
          <t>Master data, MOB</t>
        </is>
      </c>
      <c r="B20" s="3" t="inlineStr">
        <is>
          <t>MOB starts after HAL completes</t>
        </is>
      </c>
      <c r="C20" s="3">
        <f>IF(Plan!G16&gt;Plan!J6,"Pass","FAIL")</f>
        <v/>
      </c>
      <c r="D20" s="3" t="inlineStr">
        <is>
          <t>MOB consumes customer master owned by HAL</t>
        </is>
      </c>
    </row>
    <row r="21">
      <c r="A21" s="3" t="inlineStr">
        <is>
          <t>Master data, PEN</t>
        </is>
      </c>
      <c r="B21" s="3" t="inlineStr">
        <is>
          <t>PEN starts after BRD completes</t>
        </is>
      </c>
      <c r="C21" s="3">
        <f>IF(Plan!G17&gt;Plan!J5,"Pass","FAIL")</f>
        <v/>
      </c>
      <c r="D21" s="3" t="inlineStr">
        <is>
          <t>PEN consumes material master owned by BRD</t>
        </is>
      </c>
    </row>
    <row r="22">
      <c r="A22" s="3" t="inlineStr">
        <is>
          <t>Master data, VAL</t>
        </is>
      </c>
      <c r="B22" s="3" t="inlineStr">
        <is>
          <t>VAL starts after BRD completes</t>
        </is>
      </c>
      <c r="C22" s="3">
        <f>IF(Plan!G18&gt;Plan!J5,"Pass","FAIL")</f>
        <v/>
      </c>
      <c r="D22" s="3" t="inlineStr">
        <is>
          <t>VAL consumes material master owned by BRD</t>
        </is>
      </c>
    </row>
    <row r="23">
      <c r="A23" s="3" t="inlineStr">
        <is>
          <t>Validation, COR</t>
        </is>
      </c>
      <c r="B23" s="3" t="inlineStr">
        <is>
          <t>Live week is the week after cutover plus the validation period</t>
        </is>
      </c>
      <c r="C23" s="3">
        <f>IF(Plan!K9=Plan!J9+1+Reference!$B$6,"Pass","FAIL")</f>
        <v/>
      </c>
      <c r="D23" s="3" t="inlineStr">
        <is>
          <t>The site is not live until validation completes</t>
        </is>
      </c>
    </row>
    <row r="24">
      <c r="A24" s="3" t="inlineStr">
        <is>
          <t>Shutdown window, SAR</t>
        </is>
      </c>
      <c r="B24" s="3" t="inlineStr">
        <is>
          <t>SAR starts in its stated shutdown week</t>
        </is>
      </c>
      <c r="C24" s="3">
        <f>IF(Plan!G12=INDEX(Reference!$H$11:$H$24,MATCH(Plan!$B12,Reference!$A$11:$A$24,0)),"Pass","FAIL")</f>
        <v/>
      </c>
      <c r="D24" s="3" t="inlineStr">
        <is>
          <t>Continuous process plant; the turnaround date is fixed a year ahead</t>
        </is>
      </c>
    </row>
    <row r="25">
      <c r="A25" s="3" t="inlineStr">
        <is>
          <t>Shutdown window, MOB</t>
        </is>
      </c>
      <c r="B25" s="3" t="inlineStr">
        <is>
          <t>MOB starts in its stated shutdown week</t>
        </is>
      </c>
      <c r="C25" s="3">
        <f>IF(Plan!G16=INDEX(Reference!$H$11:$H$24,MATCH(Plan!$B16,Reference!$A$11:$A$24,0)),"Pass","FAIL")</f>
        <v/>
      </c>
      <c r="D25" s="3" t="inlineStr">
        <is>
          <t>Continuous process plant; the turnaround date is fixed a year ahead</t>
        </is>
      </c>
    </row>
    <row r="26">
      <c r="A26" s="3" t="inlineStr">
        <is>
          <t>Blackouts, BRD</t>
        </is>
      </c>
      <c r="B26" s="3" t="inlineStr">
        <is>
          <t>No blackout week falls inside the cutover</t>
        </is>
      </c>
      <c r="C26" s="3">
        <f>IF(SUMPRODUCT((Reference!$B$26:$L$26&gt;=Plan!$G5)*(Reference!$B$26:$L$26&lt;=Plan!$J5))=0,"Pass","FAIL")</f>
        <v/>
      </c>
      <c r="D26" s="3" t="inlineStr"/>
    </row>
    <row r="27">
      <c r="A27" s="3" t="inlineStr">
        <is>
          <t>Blackouts, HAL</t>
        </is>
      </c>
      <c r="B27" s="3" t="inlineStr">
        <is>
          <t>No blackout week falls inside the cutover</t>
        </is>
      </c>
      <c r="C27" s="3">
        <f>IF(SUMPRODUCT((Reference!$B$26:$L$26&gt;=Plan!$G6)*(Reference!$B$26:$L$26&lt;=Plan!$J6))=0,"Pass","FAIL")</f>
        <v/>
      </c>
      <c r="D27" s="3" t="inlineStr"/>
    </row>
    <row r="28">
      <c r="A28" s="3" t="inlineStr">
        <is>
          <t>Blackouts, KIN</t>
        </is>
      </c>
      <c r="B28" s="3" t="inlineStr">
        <is>
          <t>No blackout week falls inside the cutover</t>
        </is>
      </c>
      <c r="C28" s="3">
        <f>IF(SUMPRODUCT((Reference!$B$26:$L$26&gt;=Plan!$G7)*(Reference!$B$26:$L$26&lt;=Plan!$J7))=0,"Pass","FAIL")</f>
        <v/>
      </c>
      <c r="D28" s="3" t="inlineStr"/>
    </row>
    <row r="29">
      <c r="A29" s="3" t="inlineStr">
        <is>
          <t>Blackouts, CHA</t>
        </is>
      </c>
      <c r="B29" s="3" t="inlineStr">
        <is>
          <t>No blackout week falls inside the cutover</t>
        </is>
      </c>
      <c r="C29" s="3">
        <f>IF(SUMPRODUCT((Reference!$B$26:$L$26&gt;=Plan!$G8)*(Reference!$B$26:$L$26&lt;=Plan!$J8))=0,"Pass","FAIL")</f>
        <v/>
      </c>
      <c r="D29" s="3" t="inlineStr"/>
    </row>
    <row r="30">
      <c r="A30" s="3" t="inlineStr">
        <is>
          <t>Blackouts, COR</t>
        </is>
      </c>
      <c r="B30" s="3" t="inlineStr">
        <is>
          <t>No blackout week falls inside the cutover</t>
        </is>
      </c>
      <c r="C30" s="3">
        <f>IF(SUMPRODUCT((Reference!$B$26:$L$26&gt;=Plan!$G9)*(Reference!$B$26:$L$26&lt;=Plan!$J9))=0,"Pass","FAIL")</f>
        <v/>
      </c>
      <c r="D30" s="3" t="inlineStr"/>
    </row>
    <row r="31">
      <c r="A31" s="3" t="inlineStr">
        <is>
          <t>Blackouts, ANT</t>
        </is>
      </c>
      <c r="B31" s="3" t="inlineStr">
        <is>
          <t>No blackout week falls inside the cutover</t>
        </is>
      </c>
      <c r="C31" s="3">
        <f>IF(SUMPRODUCT((Reference!$B$26:$L$26&gt;=Plan!$G10)*(Reference!$B$26:$L$26&lt;=Plan!$J10))=0,"Pass","FAIL")</f>
        <v/>
      </c>
      <c r="D31" s="3" t="inlineStr"/>
    </row>
    <row r="32">
      <c r="A32" s="3" t="inlineStr">
        <is>
          <t>Blackouts, ROT</t>
        </is>
      </c>
      <c r="B32" s="3" t="inlineStr">
        <is>
          <t>No blackout week falls inside the cutover</t>
        </is>
      </c>
      <c r="C32" s="3">
        <f>IF(SUMPRODUCT((Reference!$B$26:$L$26&gt;=Plan!$G11)*(Reference!$B$26:$L$26&lt;=Plan!$J11))=0,"Pass","FAIL")</f>
        <v/>
      </c>
      <c r="D32" s="3" t="inlineStr"/>
    </row>
    <row r="33">
      <c r="A33" s="3" t="inlineStr">
        <is>
          <t>Blackouts, SAR</t>
        </is>
      </c>
      <c r="B33" s="3" t="inlineStr">
        <is>
          <t>No blackout week falls inside the cutover</t>
        </is>
      </c>
      <c r="C33" s="3">
        <f>IF(SUMPRODUCT((Reference!$B$26:$L$26&gt;=Plan!$G12)*(Reference!$B$26:$L$26&lt;=Plan!$J12))=0,"Pass","FAIL")</f>
        <v/>
      </c>
      <c r="D33" s="3" t="inlineStr"/>
    </row>
    <row r="34">
      <c r="A34" s="3" t="inlineStr">
        <is>
          <t>Blackouts, GDA</t>
        </is>
      </c>
      <c r="B34" s="3" t="inlineStr">
        <is>
          <t>No blackout week falls inside the cutover</t>
        </is>
      </c>
      <c r="C34" s="3">
        <f>IF(SUMPRODUCT((Reference!$B$26:$L$26&gt;=Plan!$G13)*(Reference!$B$26:$L$26&lt;=Plan!$J13))=0,"Pass","FAIL")</f>
        <v/>
      </c>
      <c r="D34" s="3" t="inlineStr"/>
    </row>
    <row r="35">
      <c r="A35" s="3" t="inlineStr">
        <is>
          <t>Blackouts, LYO</t>
        </is>
      </c>
      <c r="B35" s="3" t="inlineStr">
        <is>
          <t>No blackout week falls inside the cutover</t>
        </is>
      </c>
      <c r="C35" s="3">
        <f>IF(SUMPRODUCT((Reference!$B$26:$L$26&gt;=Plan!$G14)*(Reference!$B$26:$L$26&lt;=Plan!$J14))=0,"Pass","FAIL")</f>
        <v/>
      </c>
      <c r="D35" s="3" t="inlineStr"/>
    </row>
    <row r="36">
      <c r="A36" s="3" t="inlineStr">
        <is>
          <t>Blackouts, TUR</t>
        </is>
      </c>
      <c r="B36" s="3" t="inlineStr">
        <is>
          <t>No blackout week falls inside the cutover</t>
        </is>
      </c>
      <c r="C36" s="3">
        <f>IF(SUMPRODUCT((Reference!$B$26:$L$26&gt;=Plan!$G15)*(Reference!$B$26:$L$26&lt;=Plan!$J15))=0,"Pass","FAIL")</f>
        <v/>
      </c>
      <c r="D36" s="3" t="inlineStr"/>
    </row>
    <row r="37">
      <c r="A37" s="3" t="inlineStr">
        <is>
          <t>Blackouts, MOB</t>
        </is>
      </c>
      <c r="B37" s="3" t="inlineStr">
        <is>
          <t>No blackout week falls inside the cutover</t>
        </is>
      </c>
      <c r="C37" s="3">
        <f>IF(SUMPRODUCT((Reference!$B$26:$L$26&gt;=Plan!$G16)*(Reference!$B$26:$L$26&lt;=Plan!$J16))=0,"Pass","FAIL")</f>
        <v/>
      </c>
      <c r="D37" s="3" t="inlineStr"/>
    </row>
    <row r="38">
      <c r="A38" s="3" t="inlineStr">
        <is>
          <t>Blackouts, PEN</t>
        </is>
      </c>
      <c r="B38" s="3" t="inlineStr">
        <is>
          <t>No blackout week falls inside the cutover</t>
        </is>
      </c>
      <c r="C38" s="3">
        <f>IF(SUMPRODUCT((Reference!$B$26:$L$26&gt;=Plan!$G17)*(Reference!$B$26:$L$26&lt;=Plan!$J17))=0,"Pass","FAIL")</f>
        <v/>
      </c>
      <c r="D38" s="3" t="inlineStr"/>
    </row>
    <row r="39">
      <c r="A39" s="3" t="inlineStr">
        <is>
          <t>Blackouts, VAL</t>
        </is>
      </c>
      <c r="B39" s="3" t="inlineStr">
        <is>
          <t>No blackout week falls inside the cutover</t>
        </is>
      </c>
      <c r="C39" s="3">
        <f>IF(SUMPRODUCT((Reference!$B$26:$L$26&gt;=Plan!$G18)*(Reference!$B$26:$L$26&lt;=Plan!$J18))=0,"Pass","FAIL")</f>
        <v/>
      </c>
      <c r="D39" s="3" t="inlineStr"/>
    </row>
    <row r="40">
      <c r="A40" s="3" t="inlineStr">
        <is>
          <t>Team capacity</t>
        </is>
      </c>
      <c r="B40" s="3" t="inlineStr">
        <is>
          <t>No week requires more teams than are available</t>
        </is>
      </c>
      <c r="C40" s="3">
        <f>IF(MAX(Timeline!$B$19:$AR$19)&lt;=Reference!$B$5,"Pass","FAIL")</f>
        <v/>
      </c>
      <c r="D40" s="3" t="inlineStr">
        <is>
          <t>Peak concurrency against the deployment teams available</t>
        </is>
      </c>
    </row>
    <row r="41">
      <c r="A41" s="14" t="inlineStr">
        <is>
          <t>Deadline</t>
        </is>
      </c>
      <c r="B41" s="14" t="inlineStr">
        <is>
          <t>Every site live on or before the support deadline</t>
        </is>
      </c>
      <c r="C41" s="14">
        <f>IF(MAX(Plan!K5:K18)&lt;=Reference!$B$8,"Pass","FAIL")</f>
        <v/>
      </c>
      <c r="D41" s="14" t="inlineStr">
        <is>
          <t>Cork's live date is the end of validation, not the end of cutover</t>
        </is>
      </c>
    </row>
    <row r="42">
      <c r="A42" s="3" t="inlineStr">
        <is>
          <t>Durations</t>
        </is>
      </c>
      <c r="B42" s="3" t="inlineStr">
        <is>
          <t>Team weeks consumed match the site profile</t>
        </is>
      </c>
      <c r="C42" s="3">
        <f>IF(SUM(Plan!I5:I18)=SUM(Reference!$G$11:$G$24),"Pass","FAIL")</f>
        <v/>
      </c>
      <c r="D42" s="3" t="inlineStr">
        <is>
          <t>No duration has been shortened to make the plan fit</t>
        </is>
      </c>
    </row>
    <row r="43">
      <c r="A43" s="14" t="inlineStr">
        <is>
          <t>All checks</t>
        </is>
      </c>
      <c r="B43" s="14" t="inlineStr">
        <is>
          <t>Count of failures across the tests above</t>
        </is>
      </c>
      <c r="C43" s="14">
        <f>COUNTIF(C5:C42,"FAIL")</f>
        <v/>
      </c>
      <c r="D43" s="14" t="inlineStr">
        <is>
          <t>Must be zero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3"/>
  <sheetViews>
    <sheetView showGridLines="0" workbookViewId="0">
      <selection activeCell="A1" sqref="A1"/>
    </sheetView>
  </sheetViews>
  <sheetFormatPr baseColWidth="8" defaultRowHeight="15"/>
  <cols>
    <col width="126" customWidth="1" min="1" max="1"/>
  </cols>
  <sheetData>
    <row r="1">
      <c r="A1" s="1" t="inlineStr">
        <is>
          <t>Why the sequence is what it is</t>
        </is>
      </c>
    </row>
    <row r="4">
      <c r="A4" s="18" t="inlineStr">
        <is>
          <t>The order is set by freedom of movement, not by size</t>
        </is>
      </c>
    </row>
    <row r="5" ht="37.2" customHeight="1">
      <c r="A5" s="19" t="inlineStr">
        <is>
          <t>11 of the fourteen sites cannot start until Bridgnorth completes, because Bridgnorth owns material master. Bridgnorth therefore leads regardless of anything else. Halesworth and Kinloss own the other two master domains and run alongside it, so all three teams are committed in wave one and the dependency chain is released in five weeks.</t>
        </is>
      </c>
    </row>
    <row r="7">
      <c r="A7" s="18" t="inlineStr">
        <is>
          <t>Charleston is the largest site and does not go first</t>
        </is>
      </c>
    </row>
    <row r="8" ht="24.8" customHeight="1">
      <c r="A8" s="19" t="inlineStr">
        <is>
          <t>Charleston has 580 users and is the obvious wave one candidate on any size-ordered plan. It depends on both Bridgnorth and Halesworth and cannot start until week 10. Sequencing by size is the error that sank the first internal attempt.</t>
        </is>
      </c>
    </row>
    <row r="10">
      <c r="A10" s="18" t="inlineStr">
        <is>
          <t>Cork is the smallest site and goes second</t>
        </is>
      </c>
    </row>
    <row r="11" ht="49.6" customHeight="1">
      <c r="A11" s="19" t="inlineStr">
        <is>
          <t>Cork has 150 users and would be last on any plan ordered by size or by revenue. It is GMP regulated and needs 12 weeks of computer system validation after the technical cutover before it can transact. Its cutover takes 3 weeks, so it must begin no later than programme week 28 to be live before support ends. Placing it early removes the exposure entirely and costs nothing, because it is small enough to run beside a larger site.</t>
        </is>
      </c>
    </row>
    <row r="13">
      <c r="A13" s="18" t="inlineStr">
        <is>
          <t>Sarnia and Mobile are fixed points, not choices</t>
        </is>
      </c>
    </row>
    <row r="14" ht="37.2" customHeight="1">
      <c r="A14" s="19" t="inlineStr">
        <is>
          <t>Both run continuous plant and can only begin in their annual maintenance shutdown. Sarnia's window is programme week 24 and Mobile's is week 33. The rest of the plan is built around them rather than the reverse, because those dates are set by turnaround contractors and will not move.</t>
        </is>
      </c>
    </row>
    <row r="16">
      <c r="A16" s="18" t="inlineStr">
        <is>
          <t>The blackouts remove a quarter of the calendar</t>
        </is>
      </c>
    </row>
    <row r="17" ht="37.2" customHeight="1">
      <c r="A17" s="19" t="inlineStr">
        <is>
          <t>Eleven of the 43 programme weeks are unavailable: the week containing each quarter end and the week before it, and the first three weeks of January. They fall in clusters, so the usable calendar is four blocks rather than a continuous run. An evenly spread plan lands in them, which is what happened to the second internal attempt.</t>
        </is>
      </c>
    </row>
    <row r="19">
      <c r="A19" s="18" t="inlineStr">
        <is>
          <t>Where the float is, and what it does not protect</t>
        </is>
      </c>
    </row>
    <row r="20" ht="37.2" customHeight="1">
      <c r="A20" s="19" t="inlineStr">
        <is>
          <t>The last go-live is programme week 38 against a deadline of 43, leaving 5 weeks. That float sits at the end of the programme and protects the smallest sites. It does not protect Cork, whose validation is complete long before then, and it does not protect Sarnia or Mobile, whose windows occur once a year.</t>
        </is>
      </c>
    </row>
    <row r="22">
      <c r="A22" s="18" t="inlineStr">
        <is>
          <t>What would break it</t>
        </is>
      </c>
    </row>
    <row r="23" ht="37.2" customHeight="1">
      <c r="A23" s="19" t="inlineStr">
        <is>
          <t>A slip on Bridgnorth moves 11 sites. A slip that causes Sarnia or Mobile to miss its shutdown window moves that site by a full year, which is past the deadline and past the point at which the vendor will answer a support call. Those three sites carry the programme; the rest have room.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2026-08-08T02:40:04Z</dcterms:created>
  <dcterms:modified xmlns:dcterms="http://purl.org/dc/terms/" xmlns:xsi="http://www.w3.org/2001/XMLSchema-instance" xsi:type="dcterms:W3CDTF">2026-08-08T02:40:04Z</dcterms:modified>
</cp:coreProperties>
</file>